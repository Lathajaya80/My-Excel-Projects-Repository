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0" documentId="8_{10424FB0-218E-4620-8792-A9695EE231C6}" xr6:coauthVersionLast="47" xr6:coauthVersionMax="47" xr10:uidLastSave="{00000000-0000-0000-0000-000000000000}"/>
  <bookViews>
    <workbookView xWindow="-28920" yWindow="-1530" windowWidth="29040" windowHeight="16440" firstSheet="2" activeTab="2" xr2:uid="{00000000-000D-0000-FFFF-FFFF00000000}"/>
  </bookViews>
  <sheets>
    <sheet name="Sheet1" sheetId="3" r:id="rId1"/>
    <sheet name="retail_sales_dataset" sheetId="1" r:id="rId2"/>
    <sheet name="Transactions" sheetId="2" r:id="rId3"/>
  </sheets>
  <definedNames>
    <definedName name="_xlnm._FilterDatabase" localSheetId="1" hidden="1">retail_sales_dataset!$A$1:$Q$1004</definedName>
    <definedName name="_xlcn.WorksheetConnection_retail_sales_dataset.xlsxTable1" hidden="1">retail_sales_dataset!$A$1:$O$1001</definedName>
    <definedName name="Slicer_Gender">#N/A</definedName>
    <definedName name="Slicer_Generation">#N/A</definedName>
    <definedName name="Slicer_month">#N/A</definedName>
    <definedName name="Slicer_Product_Category">#N/A</definedName>
    <definedName name="Slicer_Year">#N/A</definedName>
  </definedNames>
  <calcPr calcId="191028"/>
  <pivotCaches>
    <pivotCache cacheId="30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L3" i="1" a="1"/>
  <c r="L3" i="1"/>
  <c r="L4" i="1" a="1"/>
  <c r="L4" i="1"/>
  <c r="L5" i="1" a="1"/>
  <c r="L5" i="1"/>
  <c r="L6" i="1" a="1"/>
  <c r="L6" i="1"/>
  <c r="L7" i="1" a="1"/>
  <c r="L7" i="1"/>
  <c r="L8" i="1" a="1"/>
  <c r="L8" i="1"/>
  <c r="L9" i="1" a="1"/>
  <c r="L9" i="1"/>
  <c r="L10" i="1" a="1"/>
  <c r="L10" i="1"/>
  <c r="L11" i="1" a="1"/>
  <c r="L11" i="1"/>
  <c r="L12" i="1" a="1"/>
  <c r="L12" i="1"/>
  <c r="L13" i="1" a="1"/>
  <c r="L13" i="1"/>
  <c r="L14" i="1" a="1"/>
  <c r="L14" i="1"/>
  <c r="L15" i="1" a="1"/>
  <c r="L15" i="1"/>
  <c r="L16" i="1" a="1"/>
  <c r="L16" i="1"/>
  <c r="L17" i="1" a="1"/>
  <c r="L17" i="1"/>
  <c r="L18" i="1" a="1"/>
  <c r="L18" i="1"/>
  <c r="L19" i="1" a="1"/>
  <c r="L19" i="1"/>
  <c r="L20" i="1" a="1"/>
  <c r="L20" i="1"/>
  <c r="L21" i="1" a="1"/>
  <c r="L21" i="1"/>
  <c r="L22" i="1" a="1"/>
  <c r="L22" i="1"/>
  <c r="L23" i="1" a="1"/>
  <c r="L23" i="1"/>
  <c r="L24" i="1" a="1"/>
  <c r="L24" i="1"/>
  <c r="L25" i="1" a="1"/>
  <c r="L25" i="1"/>
  <c r="L26" i="1" a="1"/>
  <c r="L26" i="1"/>
  <c r="L27" i="1" a="1"/>
  <c r="L27" i="1"/>
  <c r="L28" i="1" a="1"/>
  <c r="L28" i="1"/>
  <c r="L29" i="1" a="1"/>
  <c r="L29" i="1"/>
  <c r="L30" i="1" a="1"/>
  <c r="L30" i="1"/>
  <c r="L31" i="1" a="1"/>
  <c r="L31" i="1"/>
  <c r="L32" i="1" a="1"/>
  <c r="L32" i="1"/>
  <c r="L33" i="1" a="1"/>
  <c r="L33" i="1"/>
  <c r="L34" i="1" a="1"/>
  <c r="L34" i="1"/>
  <c r="L35" i="1" a="1"/>
  <c r="L35" i="1"/>
  <c r="L36" i="1" a="1"/>
  <c r="L36" i="1"/>
  <c r="L37" i="1" a="1"/>
  <c r="L37" i="1"/>
  <c r="L38" i="1" a="1"/>
  <c r="L38" i="1"/>
  <c r="L39" i="1" a="1"/>
  <c r="L39" i="1"/>
  <c r="L40" i="1" a="1"/>
  <c r="L40" i="1"/>
  <c r="L41" i="1" a="1"/>
  <c r="L41" i="1"/>
  <c r="L42" i="1" a="1"/>
  <c r="L42" i="1"/>
  <c r="L43" i="1" a="1"/>
  <c r="L43" i="1"/>
  <c r="L44" i="1" a="1"/>
  <c r="L44" i="1"/>
  <c r="L45" i="1" a="1"/>
  <c r="L45" i="1"/>
  <c r="L46" i="1" a="1"/>
  <c r="L46" i="1"/>
  <c r="L47" i="1" a="1"/>
  <c r="L47" i="1"/>
  <c r="L48" i="1" a="1"/>
  <c r="L48" i="1"/>
  <c r="L49" i="1" a="1"/>
  <c r="L49" i="1"/>
  <c r="L50" i="1" a="1"/>
  <c r="L50" i="1"/>
  <c r="L51" i="1" a="1"/>
  <c r="L51" i="1"/>
  <c r="L52" i="1" a="1"/>
  <c r="L52" i="1"/>
  <c r="L53" i="1" a="1"/>
  <c r="L53" i="1"/>
  <c r="L54" i="1" a="1"/>
  <c r="L54" i="1"/>
  <c r="L55" i="1" a="1"/>
  <c r="L55" i="1"/>
  <c r="L56" i="1" a="1"/>
  <c r="L56" i="1"/>
  <c r="L57" i="1" a="1"/>
  <c r="L57" i="1"/>
  <c r="L58" i="1" a="1"/>
  <c r="L58" i="1"/>
  <c r="L59" i="1" a="1"/>
  <c r="L59" i="1"/>
  <c r="L60" i="1" a="1"/>
  <c r="L60" i="1"/>
  <c r="L61" i="1" a="1"/>
  <c r="L61" i="1"/>
  <c r="L62" i="1" a="1"/>
  <c r="L62" i="1"/>
  <c r="L63" i="1" a="1"/>
  <c r="L63" i="1"/>
  <c r="L64" i="1" a="1"/>
  <c r="L64" i="1"/>
  <c r="L65" i="1" a="1"/>
  <c r="L65" i="1"/>
  <c r="L66" i="1" a="1"/>
  <c r="L66" i="1"/>
  <c r="L67" i="1" a="1"/>
  <c r="L67" i="1"/>
  <c r="L68" i="1" a="1"/>
  <c r="L68" i="1"/>
  <c r="L69" i="1" a="1"/>
  <c r="L69" i="1"/>
  <c r="L70" i="1" a="1"/>
  <c r="L70" i="1"/>
  <c r="L71" i="1" a="1"/>
  <c r="L71" i="1"/>
  <c r="L72" i="1" a="1"/>
  <c r="L72" i="1"/>
  <c r="L73" i="1" a="1"/>
  <c r="L73" i="1"/>
  <c r="L74" i="1" a="1"/>
  <c r="L74" i="1"/>
  <c r="L75" i="1" a="1"/>
  <c r="L75" i="1"/>
  <c r="L76" i="1" a="1"/>
  <c r="L76" i="1"/>
  <c r="L77" i="1" a="1"/>
  <c r="L77" i="1"/>
  <c r="L78" i="1" a="1"/>
  <c r="L78" i="1"/>
  <c r="L79" i="1" a="1"/>
  <c r="L79" i="1"/>
  <c r="L80" i="1" a="1"/>
  <c r="L80" i="1"/>
  <c r="L81" i="1" a="1"/>
  <c r="L81" i="1"/>
  <c r="L82" i="1" a="1"/>
  <c r="L82" i="1"/>
  <c r="L83" i="1" a="1"/>
  <c r="L83" i="1"/>
  <c r="L84" i="1" a="1"/>
  <c r="L84" i="1"/>
  <c r="L85" i="1" a="1"/>
  <c r="L85" i="1"/>
  <c r="L86" i="1" a="1"/>
  <c r="L86" i="1"/>
  <c r="L87" i="1" a="1"/>
  <c r="L87" i="1"/>
  <c r="L88" i="1" a="1"/>
  <c r="L88" i="1"/>
  <c r="L89" i="1" a="1"/>
  <c r="L89" i="1"/>
  <c r="L90" i="1" a="1"/>
  <c r="L90" i="1"/>
  <c r="L91" i="1" a="1"/>
  <c r="L91" i="1"/>
  <c r="L92" i="1" a="1"/>
  <c r="L92" i="1"/>
  <c r="L93" i="1" a="1"/>
  <c r="L93" i="1"/>
  <c r="L94" i="1" a="1"/>
  <c r="L94" i="1"/>
  <c r="L95" i="1" a="1"/>
  <c r="L95" i="1"/>
  <c r="L96" i="1" a="1"/>
  <c r="L96" i="1"/>
  <c r="L97" i="1" a="1"/>
  <c r="L97" i="1"/>
  <c r="L98" i="1" a="1"/>
  <c r="L98" i="1"/>
  <c r="L99" i="1" a="1"/>
  <c r="L99" i="1"/>
  <c r="L100" i="1" a="1"/>
  <c r="L100" i="1"/>
  <c r="L101" i="1" a="1"/>
  <c r="L101" i="1"/>
  <c r="L102" i="1" a="1"/>
  <c r="L102" i="1"/>
  <c r="L103" i="1" a="1"/>
  <c r="L103" i="1"/>
  <c r="L104" i="1" a="1"/>
  <c r="L104" i="1"/>
  <c r="L105" i="1" a="1"/>
  <c r="L105" i="1"/>
  <c r="L106" i="1" a="1"/>
  <c r="L106" i="1"/>
  <c r="L107" i="1" a="1"/>
  <c r="L107" i="1"/>
  <c r="L108" i="1" a="1"/>
  <c r="L108" i="1"/>
  <c r="L109" i="1" a="1"/>
  <c r="L109" i="1"/>
  <c r="L110" i="1" a="1"/>
  <c r="L110" i="1"/>
  <c r="L111" i="1" a="1"/>
  <c r="L111" i="1"/>
  <c r="L112" i="1" a="1"/>
  <c r="L112" i="1"/>
  <c r="L113" i="1" a="1"/>
  <c r="L113" i="1"/>
  <c r="L114" i="1" a="1"/>
  <c r="L114" i="1"/>
  <c r="L115" i="1" a="1"/>
  <c r="L115" i="1"/>
  <c r="L116" i="1" a="1"/>
  <c r="L116" i="1"/>
  <c r="L117" i="1" a="1"/>
  <c r="L117" i="1"/>
  <c r="L118" i="1" a="1"/>
  <c r="L118" i="1"/>
  <c r="L119" i="1" a="1"/>
  <c r="L119" i="1"/>
  <c r="L120" i="1" a="1"/>
  <c r="L120" i="1"/>
  <c r="L121" i="1" a="1"/>
  <c r="L121" i="1"/>
  <c r="L122" i="1" a="1"/>
  <c r="L122" i="1"/>
  <c r="L123" i="1" a="1"/>
  <c r="L123" i="1"/>
  <c r="L124" i="1" a="1"/>
  <c r="L124" i="1"/>
  <c r="L125" i="1" a="1"/>
  <c r="L125" i="1"/>
  <c r="L126" i="1" a="1"/>
  <c r="L126" i="1"/>
  <c r="L127" i="1" a="1"/>
  <c r="L127" i="1"/>
  <c r="L128" i="1" a="1"/>
  <c r="L128" i="1"/>
  <c r="L129" i="1" a="1"/>
  <c r="L129" i="1"/>
  <c r="L130" i="1" a="1"/>
  <c r="L130" i="1"/>
  <c r="L131" i="1" a="1"/>
  <c r="L131" i="1"/>
  <c r="L132" i="1" a="1"/>
  <c r="L132" i="1"/>
  <c r="L133" i="1" a="1"/>
  <c r="L133" i="1"/>
  <c r="L134" i="1" a="1"/>
  <c r="L134" i="1"/>
  <c r="L135" i="1" a="1"/>
  <c r="L135" i="1"/>
  <c r="L136" i="1" a="1"/>
  <c r="L136" i="1"/>
  <c r="L137" i="1" a="1"/>
  <c r="L137" i="1"/>
  <c r="L138" i="1" a="1"/>
  <c r="L138" i="1"/>
  <c r="L139" i="1" a="1"/>
  <c r="L139" i="1"/>
  <c r="L140" i="1" a="1"/>
  <c r="L140" i="1"/>
  <c r="L141" i="1" a="1"/>
  <c r="L141" i="1"/>
  <c r="L142" i="1" a="1"/>
  <c r="L142" i="1"/>
  <c r="L143" i="1" a="1"/>
  <c r="L143" i="1"/>
  <c r="L144" i="1" a="1"/>
  <c r="L144" i="1"/>
  <c r="L145" i="1" a="1"/>
  <c r="L145" i="1"/>
  <c r="L146" i="1" a="1"/>
  <c r="L146" i="1"/>
  <c r="L147" i="1" a="1"/>
  <c r="L147" i="1"/>
  <c r="L148" i="1" a="1"/>
  <c r="L148" i="1"/>
  <c r="L149" i="1" a="1"/>
  <c r="L149" i="1"/>
  <c r="L150" i="1" a="1"/>
  <c r="L150" i="1"/>
  <c r="L151" i="1" a="1"/>
  <c r="L151" i="1"/>
  <c r="L152" i="1" a="1"/>
  <c r="L152" i="1"/>
  <c r="L153" i="1" a="1"/>
  <c r="L153" i="1"/>
  <c r="L154" i="1" a="1"/>
  <c r="L154" i="1"/>
  <c r="L155" i="1" a="1"/>
  <c r="L155" i="1"/>
  <c r="L156" i="1" a="1"/>
  <c r="L156" i="1"/>
  <c r="L157" i="1" a="1"/>
  <c r="L157" i="1"/>
  <c r="L158" i="1" a="1"/>
  <c r="L158" i="1"/>
  <c r="L159" i="1" a="1"/>
  <c r="L159" i="1"/>
  <c r="L160" i="1" a="1"/>
  <c r="L160" i="1"/>
  <c r="L161" i="1" a="1"/>
  <c r="L161" i="1"/>
  <c r="L162" i="1" a="1"/>
  <c r="L162" i="1"/>
  <c r="L163" i="1" a="1"/>
  <c r="L163" i="1"/>
  <c r="L164" i="1" a="1"/>
  <c r="L164" i="1"/>
  <c r="L165" i="1" a="1"/>
  <c r="L165" i="1"/>
  <c r="L166" i="1" a="1"/>
  <c r="L166" i="1"/>
  <c r="L167" i="1" a="1"/>
  <c r="L167" i="1"/>
  <c r="L168" i="1" a="1"/>
  <c r="L168" i="1"/>
  <c r="L169" i="1" a="1"/>
  <c r="L169" i="1"/>
  <c r="L170" i="1" a="1"/>
  <c r="L170" i="1"/>
  <c r="L171" i="1" a="1"/>
  <c r="L171" i="1"/>
  <c r="L172" i="1" a="1"/>
  <c r="L172" i="1"/>
  <c r="L173" i="1" a="1"/>
  <c r="L173" i="1"/>
  <c r="L174" i="1" a="1"/>
  <c r="L174" i="1"/>
  <c r="L175" i="1" a="1"/>
  <c r="L175" i="1"/>
  <c r="L176" i="1" a="1"/>
  <c r="L176" i="1"/>
  <c r="L177" i="1" a="1"/>
  <c r="L177" i="1"/>
  <c r="L178" i="1" a="1"/>
  <c r="L178" i="1"/>
  <c r="L179" i="1" a="1"/>
  <c r="L179" i="1"/>
  <c r="L180" i="1" a="1"/>
  <c r="L180" i="1"/>
  <c r="L181" i="1" a="1"/>
  <c r="L181" i="1"/>
  <c r="L182" i="1" a="1"/>
  <c r="L182" i="1"/>
  <c r="L183" i="1" a="1"/>
  <c r="L183" i="1"/>
  <c r="L184" i="1" a="1"/>
  <c r="L184" i="1"/>
  <c r="L185" i="1" a="1"/>
  <c r="L185" i="1"/>
  <c r="L186" i="1" a="1"/>
  <c r="L186" i="1"/>
  <c r="L187" i="1" a="1"/>
  <c r="L187" i="1"/>
  <c r="L188" i="1" a="1"/>
  <c r="L188" i="1"/>
  <c r="L189" i="1" a="1"/>
  <c r="L189" i="1"/>
  <c r="L190" i="1" a="1"/>
  <c r="L190" i="1"/>
  <c r="L191" i="1" a="1"/>
  <c r="L191" i="1"/>
  <c r="L192" i="1" a="1"/>
  <c r="L192" i="1"/>
  <c r="L193" i="1" a="1"/>
  <c r="L193" i="1"/>
  <c r="L194" i="1" a="1"/>
  <c r="L194" i="1"/>
  <c r="L195" i="1" a="1"/>
  <c r="L195" i="1"/>
  <c r="L196" i="1" a="1"/>
  <c r="L196" i="1"/>
  <c r="L197" i="1" a="1"/>
  <c r="L197" i="1"/>
  <c r="L198" i="1" a="1"/>
  <c r="L198" i="1"/>
  <c r="L199" i="1" a="1"/>
  <c r="L199" i="1"/>
  <c r="L200" i="1" a="1"/>
  <c r="L200" i="1"/>
  <c r="L201" i="1" a="1"/>
  <c r="L201" i="1"/>
  <c r="L202" i="1" a="1"/>
  <c r="L202" i="1"/>
  <c r="L203" i="1" a="1"/>
  <c r="L203" i="1"/>
  <c r="L204" i="1" a="1"/>
  <c r="L204" i="1"/>
  <c r="L205" i="1" a="1"/>
  <c r="L205" i="1"/>
  <c r="L206" i="1" a="1"/>
  <c r="L206" i="1"/>
  <c r="L207" i="1" a="1"/>
  <c r="L207" i="1"/>
  <c r="L208" i="1" a="1"/>
  <c r="L208" i="1"/>
  <c r="L209" i="1" a="1"/>
  <c r="L209" i="1"/>
  <c r="L210" i="1" a="1"/>
  <c r="L210" i="1"/>
  <c r="L211" i="1" a="1"/>
  <c r="L211" i="1"/>
  <c r="L1000" i="1" a="1"/>
  <c r="L1000" i="1"/>
  <c r="L212" i="1" a="1"/>
  <c r="L212" i="1"/>
  <c r="L213" i="1" a="1"/>
  <c r="L213" i="1"/>
  <c r="L214" i="1" a="1"/>
  <c r="L214" i="1"/>
  <c r="L215" i="1" a="1"/>
  <c r="L215" i="1"/>
  <c r="L216" i="1" a="1"/>
  <c r="L216" i="1"/>
  <c r="L217" i="1" a="1"/>
  <c r="L217" i="1"/>
  <c r="L218" i="1" a="1"/>
  <c r="L218" i="1"/>
  <c r="L219" i="1" a="1"/>
  <c r="L219" i="1"/>
  <c r="L220" i="1" a="1"/>
  <c r="L220" i="1"/>
  <c r="L221" i="1" a="1"/>
  <c r="L221" i="1"/>
  <c r="L222" i="1" a="1"/>
  <c r="L222" i="1"/>
  <c r="L223" i="1" a="1"/>
  <c r="L223" i="1"/>
  <c r="L224" i="1" a="1"/>
  <c r="L224" i="1"/>
  <c r="L225" i="1" a="1"/>
  <c r="L225" i="1"/>
  <c r="L226" i="1" a="1"/>
  <c r="L226" i="1"/>
  <c r="L227" i="1" a="1"/>
  <c r="L227" i="1"/>
  <c r="L228" i="1" a="1"/>
  <c r="L228" i="1"/>
  <c r="L229" i="1" a="1"/>
  <c r="L229" i="1"/>
  <c r="L230" i="1" a="1"/>
  <c r="L230" i="1"/>
  <c r="L231" i="1" a="1"/>
  <c r="L231" i="1"/>
  <c r="L232" i="1" a="1"/>
  <c r="L232" i="1"/>
  <c r="L233" i="1" a="1"/>
  <c r="L233" i="1"/>
  <c r="L234" i="1" a="1"/>
  <c r="L234" i="1"/>
  <c r="L235" i="1" a="1"/>
  <c r="L235" i="1"/>
  <c r="L236" i="1" a="1"/>
  <c r="L236" i="1"/>
  <c r="L237" i="1" a="1"/>
  <c r="L237" i="1"/>
  <c r="L238" i="1" a="1"/>
  <c r="L238" i="1"/>
  <c r="L239" i="1" a="1"/>
  <c r="L239" i="1"/>
  <c r="L240" i="1" a="1"/>
  <c r="L240" i="1"/>
  <c r="L241" i="1" a="1"/>
  <c r="L241" i="1"/>
  <c r="L242" i="1" a="1"/>
  <c r="L242" i="1"/>
  <c r="L243" i="1" a="1"/>
  <c r="L243" i="1"/>
  <c r="L244" i="1" a="1"/>
  <c r="L244" i="1"/>
  <c r="L245" i="1" a="1"/>
  <c r="L245" i="1"/>
  <c r="L246" i="1" a="1"/>
  <c r="L246" i="1"/>
  <c r="L247" i="1" a="1"/>
  <c r="L247" i="1"/>
  <c r="L248" i="1" a="1"/>
  <c r="L248" i="1"/>
  <c r="L249" i="1" a="1"/>
  <c r="L249" i="1"/>
  <c r="L250" i="1" a="1"/>
  <c r="L250" i="1"/>
  <c r="L251" i="1" a="1"/>
  <c r="L251" i="1"/>
  <c r="L252" i="1" a="1"/>
  <c r="L252" i="1"/>
  <c r="L253" i="1" a="1"/>
  <c r="L253" i="1"/>
  <c r="L254" i="1" a="1"/>
  <c r="L254" i="1"/>
  <c r="L255" i="1" a="1"/>
  <c r="L255" i="1"/>
  <c r="L256" i="1" a="1"/>
  <c r="L256" i="1"/>
  <c r="L257" i="1" a="1"/>
  <c r="L257" i="1"/>
  <c r="L258" i="1" a="1"/>
  <c r="L258" i="1"/>
  <c r="L259" i="1" a="1"/>
  <c r="L259" i="1"/>
  <c r="L260" i="1" a="1"/>
  <c r="L260" i="1"/>
  <c r="L261" i="1" a="1"/>
  <c r="L261" i="1"/>
  <c r="L262" i="1" a="1"/>
  <c r="L262" i="1"/>
  <c r="L263" i="1" a="1"/>
  <c r="L263" i="1"/>
  <c r="L264" i="1" a="1"/>
  <c r="L264" i="1"/>
  <c r="L265" i="1" a="1"/>
  <c r="L265" i="1"/>
  <c r="L266" i="1" a="1"/>
  <c r="L266" i="1"/>
  <c r="L267" i="1" a="1"/>
  <c r="L267" i="1"/>
  <c r="L268" i="1" a="1"/>
  <c r="L268" i="1"/>
  <c r="L269" i="1" a="1"/>
  <c r="L269" i="1"/>
  <c r="L270" i="1" a="1"/>
  <c r="L270" i="1"/>
  <c r="L271" i="1" a="1"/>
  <c r="L271" i="1"/>
  <c r="L272" i="1" a="1"/>
  <c r="L272" i="1"/>
  <c r="L273" i="1" a="1"/>
  <c r="L273" i="1"/>
  <c r="L274" i="1" a="1"/>
  <c r="L274" i="1"/>
  <c r="L275" i="1" a="1"/>
  <c r="L275" i="1"/>
  <c r="L276" i="1" a="1"/>
  <c r="L276" i="1"/>
  <c r="L277" i="1" a="1"/>
  <c r="L277" i="1"/>
  <c r="L278" i="1" a="1"/>
  <c r="L278" i="1"/>
  <c r="L279" i="1" a="1"/>
  <c r="L279" i="1"/>
  <c r="L280" i="1" a="1"/>
  <c r="L280" i="1"/>
  <c r="L281" i="1" a="1"/>
  <c r="L281" i="1"/>
  <c r="L282" i="1" a="1"/>
  <c r="L282" i="1"/>
  <c r="L283" i="1" a="1"/>
  <c r="L283" i="1"/>
  <c r="L284" i="1" a="1"/>
  <c r="L284" i="1"/>
  <c r="L285" i="1" a="1"/>
  <c r="L285" i="1"/>
  <c r="L286" i="1" a="1"/>
  <c r="L286" i="1"/>
  <c r="L287" i="1" a="1"/>
  <c r="L287" i="1"/>
  <c r="L288" i="1" a="1"/>
  <c r="L288" i="1"/>
  <c r="L289" i="1" a="1"/>
  <c r="L289" i="1"/>
  <c r="L290" i="1" a="1"/>
  <c r="L290" i="1"/>
  <c r="L291" i="1" a="1"/>
  <c r="L291" i="1"/>
  <c r="L292" i="1" a="1"/>
  <c r="L292" i="1"/>
  <c r="L293" i="1" a="1"/>
  <c r="L293" i="1"/>
  <c r="L294" i="1" a="1"/>
  <c r="L294" i="1"/>
  <c r="L295" i="1" a="1"/>
  <c r="L295" i="1"/>
  <c r="L296" i="1" a="1"/>
  <c r="L296" i="1"/>
  <c r="L297" i="1" a="1"/>
  <c r="L297" i="1"/>
  <c r="L298" i="1" a="1"/>
  <c r="L298" i="1"/>
  <c r="L299" i="1" a="1"/>
  <c r="L299" i="1"/>
  <c r="L300" i="1" a="1"/>
  <c r="L300" i="1"/>
  <c r="L301" i="1" a="1"/>
  <c r="L301" i="1"/>
  <c r="L302" i="1" a="1"/>
  <c r="L302" i="1"/>
  <c r="L303" i="1" a="1"/>
  <c r="L303" i="1"/>
  <c r="L304" i="1" a="1"/>
  <c r="L304" i="1"/>
  <c r="L305" i="1" a="1"/>
  <c r="L305" i="1"/>
  <c r="L306" i="1" a="1"/>
  <c r="L306" i="1"/>
  <c r="L307" i="1" a="1"/>
  <c r="L307" i="1"/>
  <c r="L308" i="1" a="1"/>
  <c r="L308" i="1"/>
  <c r="L309" i="1" a="1"/>
  <c r="L309" i="1"/>
  <c r="L310" i="1" a="1"/>
  <c r="L310" i="1"/>
  <c r="L311" i="1" a="1"/>
  <c r="L311" i="1"/>
  <c r="L312" i="1" a="1"/>
  <c r="L312" i="1"/>
  <c r="L313" i="1" a="1"/>
  <c r="L313" i="1"/>
  <c r="L314" i="1" a="1"/>
  <c r="L314" i="1"/>
  <c r="L315" i="1" a="1"/>
  <c r="L315" i="1"/>
  <c r="L316" i="1" a="1"/>
  <c r="L316" i="1"/>
  <c r="L317" i="1" a="1"/>
  <c r="L317" i="1"/>
  <c r="L318" i="1" a="1"/>
  <c r="L318" i="1"/>
  <c r="L319" i="1" a="1"/>
  <c r="L319" i="1"/>
  <c r="L320" i="1" a="1"/>
  <c r="L320" i="1"/>
  <c r="L321" i="1" a="1"/>
  <c r="L321" i="1"/>
  <c r="L322" i="1" a="1"/>
  <c r="L322" i="1"/>
  <c r="L323" i="1" a="1"/>
  <c r="L323" i="1"/>
  <c r="L324" i="1" a="1"/>
  <c r="L324" i="1"/>
  <c r="L325" i="1" a="1"/>
  <c r="L325" i="1"/>
  <c r="L326" i="1" a="1"/>
  <c r="L326" i="1"/>
  <c r="L327" i="1" a="1"/>
  <c r="L327" i="1"/>
  <c r="L328" i="1" a="1"/>
  <c r="L328" i="1"/>
  <c r="L329" i="1" a="1"/>
  <c r="L329" i="1"/>
  <c r="L330" i="1" a="1"/>
  <c r="L330" i="1"/>
  <c r="L331" i="1" a="1"/>
  <c r="L331" i="1"/>
  <c r="L332" i="1" a="1"/>
  <c r="L332" i="1"/>
  <c r="L333" i="1" a="1"/>
  <c r="L333" i="1"/>
  <c r="L334" i="1" a="1"/>
  <c r="L334" i="1"/>
  <c r="L335" i="1" a="1"/>
  <c r="L335" i="1"/>
  <c r="L336" i="1" a="1"/>
  <c r="L336" i="1"/>
  <c r="L337" i="1" a="1"/>
  <c r="L337" i="1"/>
  <c r="L338" i="1" a="1"/>
  <c r="L338" i="1"/>
  <c r="L339" i="1" a="1"/>
  <c r="L339" i="1"/>
  <c r="L340" i="1" a="1"/>
  <c r="L340" i="1"/>
  <c r="L341" i="1" a="1"/>
  <c r="L341" i="1"/>
  <c r="L342" i="1" a="1"/>
  <c r="L342" i="1"/>
  <c r="L343" i="1" a="1"/>
  <c r="L343" i="1"/>
  <c r="L344" i="1" a="1"/>
  <c r="L344" i="1"/>
  <c r="L345" i="1" a="1"/>
  <c r="L345" i="1"/>
  <c r="L346" i="1" a="1"/>
  <c r="L346" i="1"/>
  <c r="L347" i="1" a="1"/>
  <c r="L347" i="1"/>
  <c r="L348" i="1" a="1"/>
  <c r="L348" i="1"/>
  <c r="L349" i="1" a="1"/>
  <c r="L349" i="1"/>
  <c r="L350" i="1" a="1"/>
  <c r="L350" i="1"/>
  <c r="L351" i="1" a="1"/>
  <c r="L351" i="1"/>
  <c r="L352" i="1" a="1"/>
  <c r="L352" i="1"/>
  <c r="L353" i="1" a="1"/>
  <c r="L353" i="1"/>
  <c r="L354" i="1" a="1"/>
  <c r="L354" i="1"/>
  <c r="L355" i="1" a="1"/>
  <c r="L355" i="1"/>
  <c r="L356" i="1" a="1"/>
  <c r="L356" i="1"/>
  <c r="L357" i="1" a="1"/>
  <c r="L357" i="1"/>
  <c r="L358" i="1" a="1"/>
  <c r="L358" i="1"/>
  <c r="L359" i="1" a="1"/>
  <c r="L359" i="1"/>
  <c r="L360" i="1" a="1"/>
  <c r="L360" i="1"/>
  <c r="L361" i="1" a="1"/>
  <c r="L361" i="1"/>
  <c r="L362" i="1" a="1"/>
  <c r="L362" i="1"/>
  <c r="L363" i="1" a="1"/>
  <c r="L363" i="1"/>
  <c r="L364" i="1" a="1"/>
  <c r="L364" i="1"/>
  <c r="L365" i="1" a="1"/>
  <c r="L365" i="1"/>
  <c r="L366" i="1" a="1"/>
  <c r="L366" i="1"/>
  <c r="L367" i="1" a="1"/>
  <c r="L367" i="1"/>
  <c r="L368" i="1" a="1"/>
  <c r="L368" i="1"/>
  <c r="L369" i="1" a="1"/>
  <c r="L369" i="1"/>
  <c r="L370" i="1" a="1"/>
  <c r="L370" i="1"/>
  <c r="L371" i="1" a="1"/>
  <c r="L371" i="1"/>
  <c r="L372" i="1" a="1"/>
  <c r="L372" i="1"/>
  <c r="L373" i="1" a="1"/>
  <c r="L373" i="1"/>
  <c r="L374" i="1" a="1"/>
  <c r="L374" i="1"/>
  <c r="L375" i="1" a="1"/>
  <c r="L375" i="1"/>
  <c r="L376" i="1" a="1"/>
  <c r="L376" i="1"/>
  <c r="L377" i="1" a="1"/>
  <c r="L377" i="1"/>
  <c r="L378" i="1" a="1"/>
  <c r="L378" i="1"/>
  <c r="L379" i="1" a="1"/>
  <c r="L379" i="1"/>
  <c r="L380" i="1" a="1"/>
  <c r="L380" i="1"/>
  <c r="L381" i="1" a="1"/>
  <c r="L381" i="1"/>
  <c r="L382" i="1" a="1"/>
  <c r="L382" i="1"/>
  <c r="L383" i="1" a="1"/>
  <c r="L383" i="1"/>
  <c r="L384" i="1" a="1"/>
  <c r="L384" i="1"/>
  <c r="L385" i="1" a="1"/>
  <c r="L385" i="1"/>
  <c r="L386" i="1" a="1"/>
  <c r="L386" i="1"/>
  <c r="L387" i="1" a="1"/>
  <c r="L387" i="1"/>
  <c r="L388" i="1" a="1"/>
  <c r="L388" i="1"/>
  <c r="L389" i="1" a="1"/>
  <c r="L389" i="1"/>
  <c r="L390" i="1" a="1"/>
  <c r="L390" i="1"/>
  <c r="L391" i="1" a="1"/>
  <c r="L391" i="1"/>
  <c r="L392" i="1" a="1"/>
  <c r="L392" i="1"/>
  <c r="L393" i="1" a="1"/>
  <c r="L393" i="1"/>
  <c r="L394" i="1" a="1"/>
  <c r="L394" i="1"/>
  <c r="L395" i="1" a="1"/>
  <c r="L395" i="1"/>
  <c r="L396" i="1" a="1"/>
  <c r="L396" i="1"/>
  <c r="L397" i="1" a="1"/>
  <c r="L397" i="1"/>
  <c r="L398" i="1" a="1"/>
  <c r="L398" i="1"/>
  <c r="L399" i="1" a="1"/>
  <c r="L399" i="1"/>
  <c r="L400" i="1" a="1"/>
  <c r="L400" i="1"/>
  <c r="L401" i="1" a="1"/>
  <c r="L401" i="1"/>
  <c r="L402" i="1" a="1"/>
  <c r="L402" i="1"/>
  <c r="L403" i="1" a="1"/>
  <c r="L403" i="1"/>
  <c r="L404" i="1" a="1"/>
  <c r="L404" i="1"/>
  <c r="L405" i="1" a="1"/>
  <c r="L405" i="1"/>
  <c r="L406" i="1" a="1"/>
  <c r="L406" i="1"/>
  <c r="L407" i="1" a="1"/>
  <c r="L407" i="1"/>
  <c r="L408" i="1" a="1"/>
  <c r="L408" i="1"/>
  <c r="L409" i="1" a="1"/>
  <c r="L409" i="1"/>
  <c r="L410" i="1" a="1"/>
  <c r="L410" i="1"/>
  <c r="L411" i="1" a="1"/>
  <c r="L411" i="1"/>
  <c r="L412" i="1" a="1"/>
  <c r="L412" i="1"/>
  <c r="L413" i="1" a="1"/>
  <c r="L413" i="1"/>
  <c r="L414" i="1" a="1"/>
  <c r="L414" i="1"/>
  <c r="L415" i="1" a="1"/>
  <c r="L415" i="1"/>
  <c r="L416" i="1" a="1"/>
  <c r="L416" i="1"/>
  <c r="L417" i="1" a="1"/>
  <c r="L417" i="1"/>
  <c r="L418" i="1" a="1"/>
  <c r="L418" i="1"/>
  <c r="L419" i="1" a="1"/>
  <c r="L419" i="1"/>
  <c r="L420" i="1" a="1"/>
  <c r="L420" i="1"/>
  <c r="L421" i="1" a="1"/>
  <c r="L421" i="1"/>
  <c r="L422" i="1" a="1"/>
  <c r="L422" i="1"/>
  <c r="L423" i="1" a="1"/>
  <c r="L423" i="1"/>
  <c r="L424" i="1" a="1"/>
  <c r="L424" i="1"/>
  <c r="L425" i="1" a="1"/>
  <c r="L425" i="1"/>
  <c r="L426" i="1" a="1"/>
  <c r="L426" i="1"/>
  <c r="L427" i="1" a="1"/>
  <c r="L427" i="1"/>
  <c r="L428" i="1" a="1"/>
  <c r="L428" i="1"/>
  <c r="L429" i="1" a="1"/>
  <c r="L429" i="1"/>
  <c r="L430" i="1" a="1"/>
  <c r="L430" i="1"/>
  <c r="L431" i="1" a="1"/>
  <c r="L431" i="1"/>
  <c r="L432" i="1" a="1"/>
  <c r="L432" i="1"/>
  <c r="L433" i="1" a="1"/>
  <c r="L433" i="1"/>
  <c r="L434" i="1" a="1"/>
  <c r="L434" i="1"/>
  <c r="L435" i="1" a="1"/>
  <c r="L435" i="1"/>
  <c r="L436" i="1" a="1"/>
  <c r="L436" i="1"/>
  <c r="L437" i="1" a="1"/>
  <c r="L437" i="1"/>
  <c r="L438" i="1" a="1"/>
  <c r="L438" i="1"/>
  <c r="L439" i="1" a="1"/>
  <c r="L439" i="1"/>
  <c r="L440" i="1" a="1"/>
  <c r="L440" i="1"/>
  <c r="L441" i="1" a="1"/>
  <c r="L441" i="1"/>
  <c r="L442" i="1" a="1"/>
  <c r="L442" i="1"/>
  <c r="L443" i="1" a="1"/>
  <c r="L443" i="1"/>
  <c r="L444" i="1" a="1"/>
  <c r="L444" i="1"/>
  <c r="L445" i="1" a="1"/>
  <c r="L445" i="1"/>
  <c r="L446" i="1" a="1"/>
  <c r="L446" i="1"/>
  <c r="L447" i="1" a="1"/>
  <c r="L447" i="1"/>
  <c r="L448" i="1" a="1"/>
  <c r="L448" i="1"/>
  <c r="L449" i="1" a="1"/>
  <c r="L449" i="1"/>
  <c r="L450" i="1" a="1"/>
  <c r="L450" i="1"/>
  <c r="L451" i="1" a="1"/>
  <c r="L451" i="1"/>
  <c r="L452" i="1" a="1"/>
  <c r="L452" i="1"/>
  <c r="L453" i="1" a="1"/>
  <c r="L453" i="1"/>
  <c r="L454" i="1" a="1"/>
  <c r="L454" i="1"/>
  <c r="L455" i="1" a="1"/>
  <c r="L455" i="1"/>
  <c r="L456" i="1" a="1"/>
  <c r="L456" i="1"/>
  <c r="L457" i="1" a="1"/>
  <c r="L457" i="1"/>
  <c r="L458" i="1" a="1"/>
  <c r="L458" i="1"/>
  <c r="L459" i="1" a="1"/>
  <c r="L459" i="1"/>
  <c r="L460" i="1" a="1"/>
  <c r="L460" i="1"/>
  <c r="L461" i="1" a="1"/>
  <c r="L461" i="1"/>
  <c r="L462" i="1" a="1"/>
  <c r="L462" i="1"/>
  <c r="L463" i="1" a="1"/>
  <c r="L463" i="1"/>
  <c r="L464" i="1" a="1"/>
  <c r="L464" i="1"/>
  <c r="L465" i="1" a="1"/>
  <c r="L465" i="1"/>
  <c r="L466" i="1" a="1"/>
  <c r="L466" i="1"/>
  <c r="L467" i="1" a="1"/>
  <c r="L467" i="1"/>
  <c r="L468" i="1" a="1"/>
  <c r="L468" i="1"/>
  <c r="L469" i="1" a="1"/>
  <c r="L469" i="1"/>
  <c r="L470" i="1" a="1"/>
  <c r="L470" i="1"/>
  <c r="L471" i="1" a="1"/>
  <c r="L471" i="1"/>
  <c r="L472" i="1" a="1"/>
  <c r="L472" i="1"/>
  <c r="L473" i="1" a="1"/>
  <c r="L473" i="1"/>
  <c r="L474" i="1" a="1"/>
  <c r="L474" i="1"/>
  <c r="L475" i="1" a="1"/>
  <c r="L475" i="1"/>
  <c r="L476" i="1" a="1"/>
  <c r="L476" i="1"/>
  <c r="L477" i="1" a="1"/>
  <c r="L477" i="1"/>
  <c r="L478" i="1" a="1"/>
  <c r="L478" i="1"/>
  <c r="L479" i="1" a="1"/>
  <c r="L479" i="1"/>
  <c r="L480" i="1" a="1"/>
  <c r="L480" i="1"/>
  <c r="L481" i="1" a="1"/>
  <c r="L481" i="1"/>
  <c r="L482" i="1" a="1"/>
  <c r="L482" i="1"/>
  <c r="L483" i="1" a="1"/>
  <c r="L483" i="1"/>
  <c r="L484" i="1" a="1"/>
  <c r="L484" i="1"/>
  <c r="L485" i="1" a="1"/>
  <c r="L485" i="1"/>
  <c r="L486" i="1" a="1"/>
  <c r="L486" i="1"/>
  <c r="L487" i="1" a="1"/>
  <c r="L487" i="1"/>
  <c r="L488" i="1" a="1"/>
  <c r="L488" i="1"/>
  <c r="L489" i="1" a="1"/>
  <c r="L489" i="1"/>
  <c r="L490" i="1" a="1"/>
  <c r="L490" i="1"/>
  <c r="L491" i="1" a="1"/>
  <c r="L491" i="1"/>
  <c r="L492" i="1" a="1"/>
  <c r="L492" i="1"/>
  <c r="L493" i="1" a="1"/>
  <c r="L493" i="1"/>
  <c r="L494" i="1" a="1"/>
  <c r="L494" i="1"/>
  <c r="L495" i="1" a="1"/>
  <c r="L495" i="1"/>
  <c r="L496" i="1" a="1"/>
  <c r="L496" i="1"/>
  <c r="L497" i="1" a="1"/>
  <c r="L497" i="1"/>
  <c r="L498" i="1" a="1"/>
  <c r="L498" i="1"/>
  <c r="L499" i="1" a="1"/>
  <c r="L499" i="1"/>
  <c r="L500" i="1" a="1"/>
  <c r="L500" i="1"/>
  <c r="L501" i="1" a="1"/>
  <c r="L501" i="1"/>
  <c r="L502" i="1" a="1"/>
  <c r="L502" i="1"/>
  <c r="L503" i="1" a="1"/>
  <c r="L503" i="1"/>
  <c r="L504" i="1" a="1"/>
  <c r="L504" i="1"/>
  <c r="L505" i="1" a="1"/>
  <c r="L505" i="1"/>
  <c r="L506" i="1" a="1"/>
  <c r="L506" i="1"/>
  <c r="L507" i="1" a="1"/>
  <c r="L507" i="1"/>
  <c r="L508" i="1" a="1"/>
  <c r="L508" i="1"/>
  <c r="L509" i="1" a="1"/>
  <c r="L509" i="1"/>
  <c r="L510" i="1" a="1"/>
  <c r="L510" i="1"/>
  <c r="L511" i="1" a="1"/>
  <c r="L511" i="1"/>
  <c r="L512" i="1" a="1"/>
  <c r="L512" i="1"/>
  <c r="L513" i="1" a="1"/>
  <c r="L513" i="1"/>
  <c r="L514" i="1" a="1"/>
  <c r="L514" i="1"/>
  <c r="L515" i="1" a="1"/>
  <c r="L515" i="1"/>
  <c r="L516" i="1" a="1"/>
  <c r="L516" i="1"/>
  <c r="L517" i="1" a="1"/>
  <c r="L517" i="1"/>
  <c r="L518" i="1" a="1"/>
  <c r="L518" i="1"/>
  <c r="L519" i="1" a="1"/>
  <c r="L519" i="1"/>
  <c r="L520" i="1" a="1"/>
  <c r="L520" i="1"/>
  <c r="L521" i="1" a="1"/>
  <c r="L521" i="1"/>
  <c r="L522" i="1" a="1"/>
  <c r="L522" i="1"/>
  <c r="L523" i="1" a="1"/>
  <c r="L523" i="1"/>
  <c r="L524" i="1" a="1"/>
  <c r="L524" i="1"/>
  <c r="L525" i="1" a="1"/>
  <c r="L525" i="1"/>
  <c r="L526" i="1" a="1"/>
  <c r="L526" i="1"/>
  <c r="L527" i="1" a="1"/>
  <c r="L527" i="1"/>
  <c r="L528" i="1" a="1"/>
  <c r="L528" i="1"/>
  <c r="L529" i="1" a="1"/>
  <c r="L529" i="1"/>
  <c r="L530" i="1" a="1"/>
  <c r="L530" i="1"/>
  <c r="L531" i="1" a="1"/>
  <c r="L531" i="1"/>
  <c r="L532" i="1" a="1"/>
  <c r="L532" i="1"/>
  <c r="L533" i="1" a="1"/>
  <c r="L533" i="1"/>
  <c r="L534" i="1" a="1"/>
  <c r="L534" i="1"/>
  <c r="L535" i="1" a="1"/>
  <c r="L535" i="1"/>
  <c r="L536" i="1" a="1"/>
  <c r="L536" i="1"/>
  <c r="L537" i="1" a="1"/>
  <c r="L537" i="1"/>
  <c r="L538" i="1" a="1"/>
  <c r="L538" i="1"/>
  <c r="L539" i="1" a="1"/>
  <c r="L539" i="1"/>
  <c r="L540" i="1" a="1"/>
  <c r="L540" i="1"/>
  <c r="L541" i="1" a="1"/>
  <c r="L541" i="1"/>
  <c r="L542" i="1" a="1"/>
  <c r="L542" i="1"/>
  <c r="L543" i="1" a="1"/>
  <c r="L543" i="1"/>
  <c r="L544" i="1" a="1"/>
  <c r="L544" i="1"/>
  <c r="L545" i="1" a="1"/>
  <c r="L545" i="1"/>
  <c r="L546" i="1" a="1"/>
  <c r="L546" i="1"/>
  <c r="L547" i="1" a="1"/>
  <c r="L547" i="1"/>
  <c r="L548" i="1" a="1"/>
  <c r="L548" i="1"/>
  <c r="L549" i="1" a="1"/>
  <c r="L549" i="1"/>
  <c r="L550" i="1" a="1"/>
  <c r="L550" i="1"/>
  <c r="L551" i="1" a="1"/>
  <c r="L551" i="1"/>
  <c r="L552" i="1" a="1"/>
  <c r="L552" i="1"/>
  <c r="L553" i="1" a="1"/>
  <c r="L553" i="1"/>
  <c r="L554" i="1" a="1"/>
  <c r="L554" i="1"/>
  <c r="L555" i="1" a="1"/>
  <c r="L555" i="1"/>
  <c r="L556" i="1" a="1"/>
  <c r="L556" i="1"/>
  <c r="L557" i="1" a="1"/>
  <c r="L557" i="1"/>
  <c r="L558" i="1" a="1"/>
  <c r="L558" i="1"/>
  <c r="L559" i="1" a="1"/>
  <c r="L559" i="1"/>
  <c r="L560" i="1" a="1"/>
  <c r="L560" i="1"/>
  <c r="L561" i="1" a="1"/>
  <c r="L561" i="1"/>
  <c r="L562" i="1" a="1"/>
  <c r="L562" i="1"/>
  <c r="L563" i="1" a="1"/>
  <c r="L563" i="1"/>
  <c r="L564" i="1" a="1"/>
  <c r="L564" i="1"/>
  <c r="L565" i="1" a="1"/>
  <c r="L565" i="1"/>
  <c r="L566" i="1" a="1"/>
  <c r="L566" i="1"/>
  <c r="L567" i="1" a="1"/>
  <c r="L567" i="1"/>
  <c r="L568" i="1" a="1"/>
  <c r="L568" i="1"/>
  <c r="L569" i="1" a="1"/>
  <c r="L569" i="1"/>
  <c r="L570" i="1" a="1"/>
  <c r="L570" i="1"/>
  <c r="L571" i="1" a="1"/>
  <c r="L571" i="1"/>
  <c r="L572" i="1" a="1"/>
  <c r="L572" i="1"/>
  <c r="L573" i="1" a="1"/>
  <c r="L573" i="1"/>
  <c r="L574" i="1" a="1"/>
  <c r="L574" i="1"/>
  <c r="L575" i="1" a="1"/>
  <c r="L575" i="1"/>
  <c r="L576" i="1" a="1"/>
  <c r="L576" i="1"/>
  <c r="L577" i="1" a="1"/>
  <c r="L577" i="1"/>
  <c r="L578" i="1" a="1"/>
  <c r="L578" i="1"/>
  <c r="L579" i="1" a="1"/>
  <c r="L579" i="1"/>
  <c r="L580" i="1" a="1"/>
  <c r="L580" i="1"/>
  <c r="L581" i="1" a="1"/>
  <c r="L581" i="1"/>
  <c r="L582" i="1" a="1"/>
  <c r="L582" i="1"/>
  <c r="L583" i="1" a="1"/>
  <c r="L583" i="1"/>
  <c r="L584" i="1" a="1"/>
  <c r="L584" i="1"/>
  <c r="L585" i="1" a="1"/>
  <c r="L585" i="1"/>
  <c r="L586" i="1" a="1"/>
  <c r="L586" i="1"/>
  <c r="L587" i="1" a="1"/>
  <c r="L587" i="1"/>
  <c r="L588" i="1" a="1"/>
  <c r="L588" i="1"/>
  <c r="L589" i="1" a="1"/>
  <c r="L589" i="1"/>
  <c r="L590" i="1" a="1"/>
  <c r="L590" i="1"/>
  <c r="L591" i="1" a="1"/>
  <c r="L591" i="1"/>
  <c r="L592" i="1" a="1"/>
  <c r="L592" i="1"/>
  <c r="L593" i="1" a="1"/>
  <c r="L593" i="1"/>
  <c r="L594" i="1" a="1"/>
  <c r="L594" i="1"/>
  <c r="L595" i="1" a="1"/>
  <c r="L595" i="1"/>
  <c r="L596" i="1" a="1"/>
  <c r="L596" i="1"/>
  <c r="L597" i="1" a="1"/>
  <c r="L597" i="1"/>
  <c r="L598" i="1" a="1"/>
  <c r="L598" i="1"/>
  <c r="L599" i="1" a="1"/>
  <c r="L599" i="1"/>
  <c r="L600" i="1" a="1"/>
  <c r="L600" i="1"/>
  <c r="L601" i="1" a="1"/>
  <c r="L601" i="1"/>
  <c r="L602" i="1" a="1"/>
  <c r="L602" i="1"/>
  <c r="L603" i="1" a="1"/>
  <c r="L603" i="1"/>
  <c r="L604" i="1" a="1"/>
  <c r="L604" i="1"/>
  <c r="L605" i="1" a="1"/>
  <c r="L605" i="1"/>
  <c r="L606" i="1" a="1"/>
  <c r="L606" i="1"/>
  <c r="L607" i="1" a="1"/>
  <c r="L607" i="1"/>
  <c r="L608" i="1" a="1"/>
  <c r="L608" i="1"/>
  <c r="L609" i="1" a="1"/>
  <c r="L609" i="1"/>
  <c r="L610" i="1" a="1"/>
  <c r="L610" i="1"/>
  <c r="L611" i="1" a="1"/>
  <c r="L611" i="1"/>
  <c r="L612" i="1" a="1"/>
  <c r="L612" i="1"/>
  <c r="L613" i="1" a="1"/>
  <c r="L613" i="1"/>
  <c r="L614" i="1" a="1"/>
  <c r="L614" i="1"/>
  <c r="L615" i="1" a="1"/>
  <c r="L615" i="1"/>
  <c r="L616" i="1" a="1"/>
  <c r="L616" i="1"/>
  <c r="L617" i="1" a="1"/>
  <c r="L617" i="1"/>
  <c r="L618" i="1" a="1"/>
  <c r="L618" i="1"/>
  <c r="L619" i="1" a="1"/>
  <c r="L619" i="1"/>
  <c r="L620" i="1" a="1"/>
  <c r="L620" i="1"/>
  <c r="L621" i="1" a="1"/>
  <c r="L621" i="1"/>
  <c r="L622" i="1" a="1"/>
  <c r="L622" i="1"/>
  <c r="L623" i="1" a="1"/>
  <c r="L623" i="1"/>
  <c r="L624" i="1" a="1"/>
  <c r="L624" i="1"/>
  <c r="L625" i="1" a="1"/>
  <c r="L625" i="1"/>
  <c r="L626" i="1" a="1"/>
  <c r="L626" i="1"/>
  <c r="L627" i="1" a="1"/>
  <c r="L627" i="1"/>
  <c r="L628" i="1" a="1"/>
  <c r="L628" i="1"/>
  <c r="L629" i="1" a="1"/>
  <c r="L629" i="1"/>
  <c r="L630" i="1" a="1"/>
  <c r="L630" i="1"/>
  <c r="L631" i="1" a="1"/>
  <c r="L631" i="1"/>
  <c r="L632" i="1" a="1"/>
  <c r="L632" i="1"/>
  <c r="L633" i="1" a="1"/>
  <c r="L633" i="1"/>
  <c r="L634" i="1" a="1"/>
  <c r="L634" i="1"/>
  <c r="L635" i="1" a="1"/>
  <c r="L635" i="1"/>
  <c r="L636" i="1" a="1"/>
  <c r="L636" i="1"/>
  <c r="L637" i="1" a="1"/>
  <c r="L637" i="1"/>
  <c r="L638" i="1" a="1"/>
  <c r="L638" i="1"/>
  <c r="L639" i="1" a="1"/>
  <c r="L639" i="1"/>
  <c r="L640" i="1" a="1"/>
  <c r="L640" i="1"/>
  <c r="L641" i="1" a="1"/>
  <c r="L641" i="1"/>
  <c r="L642" i="1" a="1"/>
  <c r="L642" i="1"/>
  <c r="L643" i="1" a="1"/>
  <c r="L643" i="1"/>
  <c r="L644" i="1" a="1"/>
  <c r="L644" i="1"/>
  <c r="L645" i="1" a="1"/>
  <c r="L645" i="1"/>
  <c r="L646" i="1" a="1"/>
  <c r="L646" i="1"/>
  <c r="L647" i="1" a="1"/>
  <c r="L647" i="1"/>
  <c r="L648" i="1" a="1"/>
  <c r="L648" i="1"/>
  <c r="L649" i="1" a="1"/>
  <c r="L649" i="1"/>
  <c r="L1001" i="1" a="1"/>
  <c r="L1001" i="1"/>
  <c r="L650" i="1" a="1"/>
  <c r="L650" i="1"/>
  <c r="L651" i="1" a="1"/>
  <c r="L651" i="1"/>
  <c r="L652" i="1" a="1"/>
  <c r="L652" i="1"/>
  <c r="L653" i="1" a="1"/>
  <c r="L653" i="1"/>
  <c r="L654" i="1" a="1"/>
  <c r="L654" i="1"/>
  <c r="L655" i="1" a="1"/>
  <c r="L655" i="1"/>
  <c r="L656" i="1" a="1"/>
  <c r="L656" i="1"/>
  <c r="L657" i="1" a="1"/>
  <c r="L657" i="1"/>
  <c r="L658" i="1" a="1"/>
  <c r="L658" i="1"/>
  <c r="L659" i="1" a="1"/>
  <c r="L659" i="1"/>
  <c r="L660" i="1" a="1"/>
  <c r="L660" i="1"/>
  <c r="L661" i="1" a="1"/>
  <c r="L661" i="1"/>
  <c r="L662" i="1" a="1"/>
  <c r="L662" i="1"/>
  <c r="L663" i="1" a="1"/>
  <c r="L663" i="1"/>
  <c r="L664" i="1" a="1"/>
  <c r="L664" i="1"/>
  <c r="L665" i="1" a="1"/>
  <c r="L665" i="1"/>
  <c r="L666" i="1" a="1"/>
  <c r="L666" i="1"/>
  <c r="L667" i="1" a="1"/>
  <c r="L667" i="1"/>
  <c r="L668" i="1" a="1"/>
  <c r="L668" i="1"/>
  <c r="L669" i="1" a="1"/>
  <c r="L669" i="1"/>
  <c r="L670" i="1" a="1"/>
  <c r="L670" i="1"/>
  <c r="L671" i="1" a="1"/>
  <c r="L671" i="1"/>
  <c r="L672" i="1" a="1"/>
  <c r="L672" i="1"/>
  <c r="L673" i="1" a="1"/>
  <c r="L673" i="1"/>
  <c r="L674" i="1" a="1"/>
  <c r="L674" i="1"/>
  <c r="L675" i="1" a="1"/>
  <c r="L675" i="1"/>
  <c r="L676" i="1" a="1"/>
  <c r="L676" i="1"/>
  <c r="L677" i="1" a="1"/>
  <c r="L677" i="1"/>
  <c r="L678" i="1" a="1"/>
  <c r="L678" i="1"/>
  <c r="L679" i="1" a="1"/>
  <c r="L679" i="1"/>
  <c r="L680" i="1" a="1"/>
  <c r="L680" i="1"/>
  <c r="L681" i="1" a="1"/>
  <c r="L681" i="1"/>
  <c r="L682" i="1" a="1"/>
  <c r="L682" i="1"/>
  <c r="L683" i="1" a="1"/>
  <c r="L683" i="1"/>
  <c r="L684" i="1" a="1"/>
  <c r="L684" i="1"/>
  <c r="L685" i="1" a="1"/>
  <c r="L685" i="1"/>
  <c r="L686" i="1" a="1"/>
  <c r="L686" i="1"/>
  <c r="L687" i="1" a="1"/>
  <c r="L687" i="1"/>
  <c r="L688" i="1" a="1"/>
  <c r="L688" i="1"/>
  <c r="L689" i="1" a="1"/>
  <c r="L689" i="1"/>
  <c r="L690" i="1" a="1"/>
  <c r="L690" i="1"/>
  <c r="L691" i="1" a="1"/>
  <c r="L691" i="1"/>
  <c r="L692" i="1" a="1"/>
  <c r="L692" i="1"/>
  <c r="L693" i="1" a="1"/>
  <c r="L693" i="1"/>
  <c r="L694" i="1" a="1"/>
  <c r="L694" i="1"/>
  <c r="L695" i="1" a="1"/>
  <c r="L695" i="1"/>
  <c r="L696" i="1" a="1"/>
  <c r="L696" i="1"/>
  <c r="L697" i="1" a="1"/>
  <c r="L697" i="1"/>
  <c r="L698" i="1" a="1"/>
  <c r="L698" i="1"/>
  <c r="L699" i="1" a="1"/>
  <c r="L699" i="1"/>
  <c r="L700" i="1" a="1"/>
  <c r="L700" i="1"/>
  <c r="L701" i="1" a="1"/>
  <c r="L701" i="1"/>
  <c r="L702" i="1" a="1"/>
  <c r="L702" i="1"/>
  <c r="L703" i="1" a="1"/>
  <c r="L703" i="1"/>
  <c r="L704" i="1" a="1"/>
  <c r="L704" i="1"/>
  <c r="L705" i="1" a="1"/>
  <c r="L705" i="1"/>
  <c r="L706" i="1" a="1"/>
  <c r="L706" i="1"/>
  <c r="L707" i="1" a="1"/>
  <c r="L707" i="1"/>
  <c r="L708" i="1" a="1"/>
  <c r="L708" i="1"/>
  <c r="L709" i="1" a="1"/>
  <c r="L709" i="1"/>
  <c r="L710" i="1" a="1"/>
  <c r="L710" i="1"/>
  <c r="L711" i="1" a="1"/>
  <c r="L711" i="1"/>
  <c r="L712" i="1" a="1"/>
  <c r="L712" i="1"/>
  <c r="L713" i="1" a="1"/>
  <c r="L713" i="1"/>
  <c r="L714" i="1" a="1"/>
  <c r="L714" i="1"/>
  <c r="L715" i="1" a="1"/>
  <c r="L715" i="1"/>
  <c r="L716" i="1" a="1"/>
  <c r="L716" i="1"/>
  <c r="L717" i="1" a="1"/>
  <c r="L717" i="1"/>
  <c r="L718" i="1" a="1"/>
  <c r="L718" i="1"/>
  <c r="L719" i="1" a="1"/>
  <c r="L719" i="1"/>
  <c r="L720" i="1" a="1"/>
  <c r="L720" i="1"/>
  <c r="L721" i="1" a="1"/>
  <c r="L721" i="1"/>
  <c r="L722" i="1" a="1"/>
  <c r="L722" i="1"/>
  <c r="L723" i="1" a="1"/>
  <c r="L723" i="1"/>
  <c r="L724" i="1" a="1"/>
  <c r="L724" i="1"/>
  <c r="L725" i="1" a="1"/>
  <c r="L725" i="1"/>
  <c r="L726" i="1" a="1"/>
  <c r="L726" i="1"/>
  <c r="L727" i="1" a="1"/>
  <c r="L727" i="1"/>
  <c r="L728" i="1" a="1"/>
  <c r="L728" i="1"/>
  <c r="L729" i="1" a="1"/>
  <c r="L729" i="1"/>
  <c r="L730" i="1" a="1"/>
  <c r="L730" i="1"/>
  <c r="L731" i="1" a="1"/>
  <c r="L731" i="1"/>
  <c r="L732" i="1" a="1"/>
  <c r="L732" i="1"/>
  <c r="L733" i="1" a="1"/>
  <c r="L733" i="1"/>
  <c r="L734" i="1" a="1"/>
  <c r="L734" i="1"/>
  <c r="L735" i="1" a="1"/>
  <c r="L735" i="1"/>
  <c r="L736" i="1" a="1"/>
  <c r="L736" i="1"/>
  <c r="L737" i="1" a="1"/>
  <c r="L737" i="1"/>
  <c r="L738" i="1" a="1"/>
  <c r="L738" i="1"/>
  <c r="L739" i="1" a="1"/>
  <c r="L739" i="1"/>
  <c r="L740" i="1" a="1"/>
  <c r="L740" i="1"/>
  <c r="L741" i="1" a="1"/>
  <c r="L741" i="1"/>
  <c r="L742" i="1" a="1"/>
  <c r="L742" i="1"/>
  <c r="L743" i="1" a="1"/>
  <c r="L743" i="1"/>
  <c r="L744" i="1" a="1"/>
  <c r="L744" i="1"/>
  <c r="L745" i="1" a="1"/>
  <c r="L745" i="1"/>
  <c r="L746" i="1" a="1"/>
  <c r="L746" i="1"/>
  <c r="L747" i="1" a="1"/>
  <c r="L747" i="1"/>
  <c r="L748" i="1" a="1"/>
  <c r="L748" i="1"/>
  <c r="L749" i="1" a="1"/>
  <c r="L749" i="1"/>
  <c r="L750" i="1" a="1"/>
  <c r="L750" i="1"/>
  <c r="L751" i="1" a="1"/>
  <c r="L751" i="1"/>
  <c r="L752" i="1" a="1"/>
  <c r="L752" i="1"/>
  <c r="L753" i="1" a="1"/>
  <c r="L753" i="1"/>
  <c r="L754" i="1" a="1"/>
  <c r="L754" i="1"/>
  <c r="L755" i="1" a="1"/>
  <c r="L755" i="1"/>
  <c r="L756" i="1" a="1"/>
  <c r="L756" i="1"/>
  <c r="L757" i="1" a="1"/>
  <c r="L757" i="1"/>
  <c r="L758" i="1" a="1"/>
  <c r="L758" i="1"/>
  <c r="L759" i="1" a="1"/>
  <c r="L759" i="1"/>
  <c r="L760" i="1" a="1"/>
  <c r="L760" i="1"/>
  <c r="L761" i="1" a="1"/>
  <c r="L761" i="1"/>
  <c r="L762" i="1" a="1"/>
  <c r="L762" i="1"/>
  <c r="L763" i="1" a="1"/>
  <c r="L763" i="1"/>
  <c r="L764" i="1" a="1"/>
  <c r="L764" i="1"/>
  <c r="L765" i="1" a="1"/>
  <c r="L765" i="1"/>
  <c r="L766" i="1" a="1"/>
  <c r="L766" i="1"/>
  <c r="L767" i="1" a="1"/>
  <c r="L767" i="1"/>
  <c r="L768" i="1" a="1"/>
  <c r="L768" i="1"/>
  <c r="L769" i="1" a="1"/>
  <c r="L769" i="1"/>
  <c r="L770" i="1" a="1"/>
  <c r="L770" i="1"/>
  <c r="L771" i="1" a="1"/>
  <c r="L771" i="1"/>
  <c r="L772" i="1" a="1"/>
  <c r="L772" i="1"/>
  <c r="L773" i="1" a="1"/>
  <c r="L773" i="1"/>
  <c r="L774" i="1" a="1"/>
  <c r="L774" i="1"/>
  <c r="L775" i="1" a="1"/>
  <c r="L775" i="1"/>
  <c r="L776" i="1" a="1"/>
  <c r="L776" i="1"/>
  <c r="L777" i="1" a="1"/>
  <c r="L777" i="1"/>
  <c r="L778" i="1" a="1"/>
  <c r="L778" i="1"/>
  <c r="L779" i="1" a="1"/>
  <c r="L779" i="1"/>
  <c r="L780" i="1" a="1"/>
  <c r="L780" i="1"/>
  <c r="L781" i="1" a="1"/>
  <c r="L781" i="1"/>
  <c r="L782" i="1" a="1"/>
  <c r="L782" i="1"/>
  <c r="L783" i="1" a="1"/>
  <c r="L783" i="1"/>
  <c r="L784" i="1" a="1"/>
  <c r="L784" i="1"/>
  <c r="L785" i="1" a="1"/>
  <c r="L785" i="1"/>
  <c r="L786" i="1" a="1"/>
  <c r="L786" i="1"/>
  <c r="L787" i="1" a="1"/>
  <c r="L787" i="1"/>
  <c r="L788" i="1" a="1"/>
  <c r="L788" i="1"/>
  <c r="L789" i="1" a="1"/>
  <c r="L789" i="1"/>
  <c r="L790" i="1" a="1"/>
  <c r="L790" i="1"/>
  <c r="L791" i="1" a="1"/>
  <c r="L791" i="1"/>
  <c r="L792" i="1" a="1"/>
  <c r="L792" i="1"/>
  <c r="L793" i="1" a="1"/>
  <c r="L793" i="1"/>
  <c r="L794" i="1" a="1"/>
  <c r="L794" i="1"/>
  <c r="L795" i="1" a="1"/>
  <c r="L795" i="1"/>
  <c r="L796" i="1" a="1"/>
  <c r="L796" i="1"/>
  <c r="L797" i="1" a="1"/>
  <c r="L797" i="1"/>
  <c r="L798" i="1" a="1"/>
  <c r="L798" i="1"/>
  <c r="L799" i="1" a="1"/>
  <c r="L799" i="1"/>
  <c r="L800" i="1" a="1"/>
  <c r="L800" i="1"/>
  <c r="L801" i="1" a="1"/>
  <c r="L801" i="1"/>
  <c r="L802" i="1" a="1"/>
  <c r="L802" i="1"/>
  <c r="L803" i="1" a="1"/>
  <c r="L803" i="1"/>
  <c r="L804" i="1" a="1"/>
  <c r="L804" i="1"/>
  <c r="L805" i="1" a="1"/>
  <c r="L805" i="1"/>
  <c r="L806" i="1" a="1"/>
  <c r="L806" i="1"/>
  <c r="L807" i="1" a="1"/>
  <c r="L807" i="1"/>
  <c r="L808" i="1" a="1"/>
  <c r="L808" i="1"/>
  <c r="L809" i="1" a="1"/>
  <c r="L809" i="1"/>
  <c r="L810" i="1" a="1"/>
  <c r="L810" i="1"/>
  <c r="L811" i="1" a="1"/>
  <c r="L811" i="1"/>
  <c r="L812" i="1" a="1"/>
  <c r="L812" i="1"/>
  <c r="L813" i="1" a="1"/>
  <c r="L813" i="1"/>
  <c r="L814" i="1" a="1"/>
  <c r="L814" i="1"/>
  <c r="L815" i="1" a="1"/>
  <c r="L815" i="1"/>
  <c r="L816" i="1" a="1"/>
  <c r="L816" i="1"/>
  <c r="L817" i="1" a="1"/>
  <c r="L817" i="1"/>
  <c r="L818" i="1" a="1"/>
  <c r="L818" i="1"/>
  <c r="L819" i="1" a="1"/>
  <c r="L819" i="1"/>
  <c r="L820" i="1" a="1"/>
  <c r="L820" i="1"/>
  <c r="L821" i="1" a="1"/>
  <c r="L821" i="1"/>
  <c r="L822" i="1" a="1"/>
  <c r="L822" i="1"/>
  <c r="L823" i="1" a="1"/>
  <c r="L823" i="1"/>
  <c r="L824" i="1" a="1"/>
  <c r="L824" i="1"/>
  <c r="L825" i="1" a="1"/>
  <c r="L825" i="1"/>
  <c r="L826" i="1" a="1"/>
  <c r="L826" i="1"/>
  <c r="L827" i="1" a="1"/>
  <c r="L827" i="1"/>
  <c r="L828" i="1" a="1"/>
  <c r="L828" i="1"/>
  <c r="L829" i="1" a="1"/>
  <c r="L829" i="1"/>
  <c r="L830" i="1" a="1"/>
  <c r="L830" i="1"/>
  <c r="L831" i="1" a="1"/>
  <c r="L831" i="1"/>
  <c r="L832" i="1" a="1"/>
  <c r="L832" i="1"/>
  <c r="L833" i="1" a="1"/>
  <c r="L833" i="1"/>
  <c r="L834" i="1" a="1"/>
  <c r="L834" i="1"/>
  <c r="L835" i="1" a="1"/>
  <c r="L835" i="1"/>
  <c r="L836" i="1" a="1"/>
  <c r="L836" i="1"/>
  <c r="L837" i="1" a="1"/>
  <c r="L837" i="1"/>
  <c r="L838" i="1" a="1"/>
  <c r="L838" i="1"/>
  <c r="L839" i="1" a="1"/>
  <c r="L839" i="1"/>
  <c r="L840" i="1" a="1"/>
  <c r="L840" i="1"/>
  <c r="L841" i="1" a="1"/>
  <c r="L841" i="1"/>
  <c r="L842" i="1" a="1"/>
  <c r="L842" i="1"/>
  <c r="L843" i="1" a="1"/>
  <c r="L843" i="1"/>
  <c r="L844" i="1" a="1"/>
  <c r="L844" i="1"/>
  <c r="L845" i="1" a="1"/>
  <c r="L845" i="1"/>
  <c r="L846" i="1" a="1"/>
  <c r="L846" i="1"/>
  <c r="L847" i="1" a="1"/>
  <c r="L847" i="1"/>
  <c r="L848" i="1" a="1"/>
  <c r="L848" i="1"/>
  <c r="L849" i="1" a="1"/>
  <c r="L849" i="1"/>
  <c r="L850" i="1" a="1"/>
  <c r="L850" i="1"/>
  <c r="L851" i="1" a="1"/>
  <c r="L851" i="1"/>
  <c r="L852" i="1" a="1"/>
  <c r="L852" i="1"/>
  <c r="L853" i="1" a="1"/>
  <c r="L853" i="1"/>
  <c r="L854" i="1" a="1"/>
  <c r="L854" i="1"/>
  <c r="L855" i="1" a="1"/>
  <c r="L855" i="1"/>
  <c r="L856" i="1" a="1"/>
  <c r="L856" i="1"/>
  <c r="L857" i="1" a="1"/>
  <c r="L857" i="1"/>
  <c r="L858" i="1" a="1"/>
  <c r="L858" i="1"/>
  <c r="L859" i="1" a="1"/>
  <c r="L859" i="1"/>
  <c r="L860" i="1" a="1"/>
  <c r="L860" i="1"/>
  <c r="L861" i="1" a="1"/>
  <c r="L861" i="1"/>
  <c r="L862" i="1" a="1"/>
  <c r="L862" i="1"/>
  <c r="L863" i="1" a="1"/>
  <c r="L863" i="1"/>
  <c r="L864" i="1" a="1"/>
  <c r="L864" i="1"/>
  <c r="L865" i="1" a="1"/>
  <c r="L865" i="1"/>
  <c r="L866" i="1" a="1"/>
  <c r="L866" i="1"/>
  <c r="L867" i="1" a="1"/>
  <c r="L867" i="1"/>
  <c r="L868" i="1" a="1"/>
  <c r="L868" i="1"/>
  <c r="L869" i="1" a="1"/>
  <c r="L869" i="1"/>
  <c r="L870" i="1" a="1"/>
  <c r="L870" i="1"/>
  <c r="L871" i="1" a="1"/>
  <c r="L871" i="1"/>
  <c r="L872" i="1" a="1"/>
  <c r="L872" i="1"/>
  <c r="L873" i="1" a="1"/>
  <c r="L873" i="1"/>
  <c r="L874" i="1" a="1"/>
  <c r="L874" i="1"/>
  <c r="L875" i="1" a="1"/>
  <c r="L875" i="1"/>
  <c r="L876" i="1" a="1"/>
  <c r="L876" i="1"/>
  <c r="L877" i="1" a="1"/>
  <c r="L877" i="1"/>
  <c r="L878" i="1" a="1"/>
  <c r="L878" i="1"/>
  <c r="L879" i="1" a="1"/>
  <c r="L879" i="1"/>
  <c r="L880" i="1" a="1"/>
  <c r="L880" i="1"/>
  <c r="L881" i="1" a="1"/>
  <c r="L881" i="1"/>
  <c r="L882" i="1" a="1"/>
  <c r="L882" i="1"/>
  <c r="L883" i="1" a="1"/>
  <c r="L883" i="1"/>
  <c r="L884" i="1" a="1"/>
  <c r="L884" i="1"/>
  <c r="L885" i="1" a="1"/>
  <c r="L885" i="1"/>
  <c r="L886" i="1" a="1"/>
  <c r="L886" i="1"/>
  <c r="L887" i="1" a="1"/>
  <c r="L887" i="1"/>
  <c r="L888" i="1" a="1"/>
  <c r="L888" i="1"/>
  <c r="L889" i="1" a="1"/>
  <c r="L889" i="1"/>
  <c r="L890" i="1" a="1"/>
  <c r="L890" i="1"/>
  <c r="L891" i="1" a="1"/>
  <c r="L891" i="1"/>
  <c r="L892" i="1" a="1"/>
  <c r="L892" i="1"/>
  <c r="L893" i="1" a="1"/>
  <c r="L893" i="1"/>
  <c r="L894" i="1" a="1"/>
  <c r="L894" i="1"/>
  <c r="L895" i="1" a="1"/>
  <c r="L895" i="1"/>
  <c r="L896" i="1" a="1"/>
  <c r="L896" i="1"/>
  <c r="L897" i="1" a="1"/>
  <c r="L897" i="1"/>
  <c r="L898" i="1" a="1"/>
  <c r="L898" i="1"/>
  <c r="L899" i="1" a="1"/>
  <c r="L899" i="1"/>
  <c r="L900" i="1" a="1"/>
  <c r="L900" i="1"/>
  <c r="L901" i="1" a="1"/>
  <c r="L901" i="1"/>
  <c r="L902" i="1" a="1"/>
  <c r="L902" i="1"/>
  <c r="L903" i="1" a="1"/>
  <c r="L903" i="1"/>
  <c r="L904" i="1" a="1"/>
  <c r="L904" i="1"/>
  <c r="L905" i="1" a="1"/>
  <c r="L905" i="1"/>
  <c r="L906" i="1" a="1"/>
  <c r="L906" i="1"/>
  <c r="L907" i="1" a="1"/>
  <c r="L907" i="1"/>
  <c r="L908" i="1" a="1"/>
  <c r="L908" i="1"/>
  <c r="L909" i="1" a="1"/>
  <c r="L909" i="1"/>
  <c r="L910" i="1" a="1"/>
  <c r="L910" i="1"/>
  <c r="L911" i="1" a="1"/>
  <c r="L911" i="1"/>
  <c r="L912" i="1" a="1"/>
  <c r="L912" i="1"/>
  <c r="L913" i="1" a="1"/>
  <c r="L913" i="1"/>
  <c r="L914" i="1" a="1"/>
  <c r="L914" i="1"/>
  <c r="L915" i="1" a="1"/>
  <c r="L915" i="1"/>
  <c r="L916" i="1" a="1"/>
  <c r="L916" i="1"/>
  <c r="L917" i="1" a="1"/>
  <c r="L917" i="1"/>
  <c r="L918" i="1" a="1"/>
  <c r="L918" i="1"/>
  <c r="L919" i="1" a="1"/>
  <c r="L919" i="1"/>
  <c r="L920" i="1" a="1"/>
  <c r="L920" i="1"/>
  <c r="L921" i="1" a="1"/>
  <c r="L921" i="1"/>
  <c r="L922" i="1" a="1"/>
  <c r="L922" i="1"/>
  <c r="L923" i="1" a="1"/>
  <c r="L923" i="1"/>
  <c r="L924" i="1" a="1"/>
  <c r="L924" i="1"/>
  <c r="L925" i="1" a="1"/>
  <c r="L925" i="1"/>
  <c r="L926" i="1" a="1"/>
  <c r="L926" i="1"/>
  <c r="L927" i="1" a="1"/>
  <c r="L927" i="1"/>
  <c r="L928" i="1" a="1"/>
  <c r="L928" i="1"/>
  <c r="L929" i="1" a="1"/>
  <c r="L929" i="1"/>
  <c r="L930" i="1" a="1"/>
  <c r="L930" i="1"/>
  <c r="L931" i="1" a="1"/>
  <c r="L931" i="1"/>
  <c r="L932" i="1" a="1"/>
  <c r="L932" i="1"/>
  <c r="L933" i="1" a="1"/>
  <c r="L933" i="1"/>
  <c r="L934" i="1" a="1"/>
  <c r="L934" i="1"/>
  <c r="L935" i="1" a="1"/>
  <c r="L935" i="1"/>
  <c r="L936" i="1" a="1"/>
  <c r="L936" i="1"/>
  <c r="L937" i="1" a="1"/>
  <c r="L937" i="1"/>
  <c r="L938" i="1" a="1"/>
  <c r="L938" i="1"/>
  <c r="L939" i="1" a="1"/>
  <c r="L939" i="1"/>
  <c r="L940" i="1" a="1"/>
  <c r="L940" i="1"/>
  <c r="L941" i="1" a="1"/>
  <c r="L941" i="1"/>
  <c r="L942" i="1" a="1"/>
  <c r="L942" i="1"/>
  <c r="L943" i="1" a="1"/>
  <c r="L943" i="1"/>
  <c r="L944" i="1" a="1"/>
  <c r="L944" i="1"/>
  <c r="L945" i="1" a="1"/>
  <c r="L945" i="1"/>
  <c r="L946" i="1" a="1"/>
  <c r="L946" i="1"/>
  <c r="L947" i="1" a="1"/>
  <c r="L947" i="1"/>
  <c r="L948" i="1" a="1"/>
  <c r="L948" i="1"/>
  <c r="L949" i="1" a="1"/>
  <c r="L949" i="1"/>
  <c r="L950" i="1" a="1"/>
  <c r="L950" i="1"/>
  <c r="L951" i="1" a="1"/>
  <c r="L951" i="1"/>
  <c r="L952" i="1" a="1"/>
  <c r="L952" i="1"/>
  <c r="L953" i="1" a="1"/>
  <c r="L953" i="1"/>
  <c r="L954" i="1" a="1"/>
  <c r="L954" i="1"/>
  <c r="L955" i="1" a="1"/>
  <c r="L955" i="1"/>
  <c r="L956" i="1" a="1"/>
  <c r="L956" i="1"/>
  <c r="L957" i="1" a="1"/>
  <c r="L957" i="1"/>
  <c r="L958" i="1" a="1"/>
  <c r="L958" i="1"/>
  <c r="L959" i="1" a="1"/>
  <c r="L959" i="1"/>
  <c r="L960" i="1" a="1"/>
  <c r="L960" i="1"/>
  <c r="L961" i="1" a="1"/>
  <c r="L961" i="1"/>
  <c r="L962" i="1" a="1"/>
  <c r="L962" i="1"/>
  <c r="L963" i="1" a="1"/>
  <c r="L963" i="1"/>
  <c r="L964" i="1" a="1"/>
  <c r="L964" i="1"/>
  <c r="L965" i="1" a="1"/>
  <c r="L965" i="1"/>
  <c r="L966" i="1" a="1"/>
  <c r="L966" i="1"/>
  <c r="L967" i="1" a="1"/>
  <c r="L967" i="1"/>
  <c r="L968" i="1" a="1"/>
  <c r="L968" i="1"/>
  <c r="L969" i="1" a="1"/>
  <c r="L969" i="1"/>
  <c r="L970" i="1" a="1"/>
  <c r="L970" i="1"/>
  <c r="L971" i="1" a="1"/>
  <c r="L971" i="1"/>
  <c r="L972" i="1" a="1"/>
  <c r="L972" i="1"/>
  <c r="L973" i="1" a="1"/>
  <c r="L973" i="1"/>
  <c r="L974" i="1" a="1"/>
  <c r="L974" i="1"/>
  <c r="L975" i="1" a="1"/>
  <c r="L975" i="1"/>
  <c r="L976" i="1" a="1"/>
  <c r="L976" i="1"/>
  <c r="L977" i="1" a="1"/>
  <c r="L977" i="1"/>
  <c r="L978" i="1" a="1"/>
  <c r="L978" i="1"/>
  <c r="L979" i="1" a="1"/>
  <c r="L979" i="1"/>
  <c r="L980" i="1" a="1"/>
  <c r="L980" i="1"/>
  <c r="L981" i="1" a="1"/>
  <c r="L981" i="1"/>
  <c r="L982" i="1" a="1"/>
  <c r="L982" i="1"/>
  <c r="L983" i="1" a="1"/>
  <c r="L983" i="1"/>
  <c r="L984" i="1" a="1"/>
  <c r="L984" i="1"/>
  <c r="L985" i="1" a="1"/>
  <c r="L985" i="1"/>
  <c r="L986" i="1" a="1"/>
  <c r="L986" i="1"/>
  <c r="L987" i="1" a="1"/>
  <c r="L987" i="1"/>
  <c r="L988" i="1" a="1"/>
  <c r="L988" i="1"/>
  <c r="L989" i="1" a="1"/>
  <c r="L989" i="1"/>
  <c r="L990" i="1" a="1"/>
  <c r="L990" i="1"/>
  <c r="L991" i="1" a="1"/>
  <c r="L991" i="1"/>
  <c r="L992" i="1" a="1"/>
  <c r="L992" i="1"/>
  <c r="L993" i="1" a="1"/>
  <c r="L993" i="1"/>
  <c r="L994" i="1" a="1"/>
  <c r="L994" i="1"/>
  <c r="L995" i="1" a="1"/>
  <c r="L995" i="1"/>
  <c r="L996" i="1" a="1"/>
  <c r="L996" i="1"/>
  <c r="L997" i="1" a="1"/>
  <c r="L997" i="1"/>
  <c r="L998" i="1" a="1"/>
  <c r="L998" i="1"/>
  <c r="L999" i="1" a="1"/>
  <c r="L999" i="1"/>
  <c r="L2" i="1" a="1"/>
  <c r="L2" i="1"/>
  <c r="A13" i="2"/>
  <c r="C2" i="2"/>
  <c r="C3" i="2"/>
  <c r="C4" i="2"/>
  <c r="C5" i="2"/>
  <c r="C6" i="2"/>
  <c r="C7" i="2"/>
  <c r="C8" i="2"/>
  <c r="C9" i="2"/>
  <c r="C10" i="2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1000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1001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1000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1001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1000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1001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1000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1001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2" i="1"/>
  <c r="X20" i="1"/>
  <c r="X22" i="1"/>
  <c r="X21" i="1"/>
  <c r="V22" i="1"/>
  <c r="V21" i="1"/>
  <c r="V20" i="1"/>
  <c r="T14" i="1" a="1"/>
  <c r="T14" i="1"/>
  <c r="P5" i="1"/>
  <c r="P6" i="1"/>
  <c r="P7" i="1"/>
  <c r="P8" i="1"/>
  <c r="P9" i="1"/>
  <c r="P10" i="1"/>
  <c r="P11" i="1"/>
  <c r="B2" i="2" s="1"/>
  <c r="P12" i="1"/>
  <c r="P13" i="1"/>
  <c r="P14" i="1"/>
  <c r="P15" i="1"/>
  <c r="P16" i="1"/>
  <c r="B3" i="2" s="1"/>
  <c r="P17" i="1"/>
  <c r="P18" i="1"/>
  <c r="P19" i="1"/>
  <c r="P20" i="1"/>
  <c r="P21" i="1"/>
  <c r="P22" i="1"/>
  <c r="P23" i="1"/>
  <c r="P24" i="1"/>
  <c r="P25" i="1"/>
  <c r="P26" i="1"/>
  <c r="B4" i="2" s="1"/>
  <c r="P27" i="1"/>
  <c r="P28" i="1"/>
  <c r="P29" i="1"/>
  <c r="P30" i="1"/>
  <c r="P31" i="1"/>
  <c r="B5" i="2" s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B6" i="2" s="1"/>
  <c r="P56" i="1"/>
  <c r="B7" i="2" s="1"/>
  <c r="P57" i="1"/>
  <c r="P58" i="1"/>
  <c r="P59" i="1"/>
  <c r="P60" i="1"/>
  <c r="P61" i="1"/>
  <c r="P62" i="1"/>
  <c r="P63" i="1"/>
  <c r="P64" i="1"/>
  <c r="P65" i="1"/>
  <c r="P66" i="1"/>
  <c r="P67" i="1"/>
  <c r="P68" i="1"/>
  <c r="B8" i="2" s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B9" i="2" s="1"/>
  <c r="P91" i="1"/>
  <c r="P92" i="1"/>
  <c r="P93" i="1"/>
  <c r="P94" i="1"/>
  <c r="P95" i="1"/>
  <c r="P96" i="1"/>
  <c r="P97" i="1"/>
  <c r="P98" i="1"/>
  <c r="P99" i="1"/>
  <c r="P100" i="1"/>
  <c r="P101" i="1"/>
  <c r="B10" i="2" s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1000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1001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3" i="1"/>
  <c r="U16" i="1" s="1"/>
  <c r="P4" i="1"/>
  <c r="U17" i="1" s="1"/>
  <c r="P2" i="1"/>
  <c r="C13" i="2" l="1"/>
  <c r="B13" i="2"/>
  <c r="D2" i="2"/>
  <c r="D10" i="2"/>
  <c r="D9" i="2"/>
  <c r="D8" i="2"/>
  <c r="D7" i="2"/>
  <c r="D6" i="2"/>
  <c r="D5" i="2"/>
  <c r="D4" i="2"/>
  <c r="D3" i="2"/>
  <c r="W16" i="1"/>
  <c r="W17" i="1"/>
  <c r="W15" i="1"/>
  <c r="V14" i="1"/>
  <c r="U15" i="1"/>
  <c r="U11" i="1"/>
  <c r="Q2" i="1"/>
  <c r="Q4" i="1"/>
  <c r="Q3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1001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1000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D13" i="2" l="1"/>
  <c r="Y13" i="1"/>
  <c r="Y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<sst xmlns="http://schemas.openxmlformats.org/spreadsheetml/2006/main" count="3055" uniqueCount="1039">
  <si>
    <t>Product Category</t>
  </si>
  <si>
    <t>Generation</t>
  </si>
  <si>
    <t>Sum of Total Sales</t>
  </si>
  <si>
    <t>Beauty</t>
  </si>
  <si>
    <t>Adult</t>
  </si>
  <si>
    <t>Senior</t>
  </si>
  <si>
    <t>Young Adult</t>
  </si>
  <si>
    <t>Beauty Total</t>
  </si>
  <si>
    <t>Clothing</t>
  </si>
  <si>
    <t>Clothing Total</t>
  </si>
  <si>
    <t>Electronics</t>
  </si>
  <si>
    <t>Electronics Total</t>
  </si>
  <si>
    <t>Grand Total</t>
  </si>
  <si>
    <t>Transaction ID</t>
  </si>
  <si>
    <t>Year</t>
  </si>
  <si>
    <t>month</t>
  </si>
  <si>
    <t>day</t>
  </si>
  <si>
    <t>day name</t>
  </si>
  <si>
    <t>Date</t>
  </si>
  <si>
    <t>Customer ID</t>
  </si>
  <si>
    <t>Gender</t>
  </si>
  <si>
    <t>Age</t>
  </si>
  <si>
    <t>Quantity</t>
  </si>
  <si>
    <t>Price per Unit</t>
  </si>
  <si>
    <t>Total Sales</t>
  </si>
  <si>
    <t>Commission 2023</t>
  </si>
  <si>
    <t>CUST001</t>
  </si>
  <si>
    <t>Male</t>
  </si>
  <si>
    <t>CUST002</t>
  </si>
  <si>
    <t>Female</t>
  </si>
  <si>
    <t> </t>
  </si>
  <si>
    <t>Rate %</t>
  </si>
  <si>
    <t>CUST003</t>
  </si>
  <si>
    <t>Commisson Rate 2023</t>
  </si>
  <si>
    <t>CUST004</t>
  </si>
  <si>
    <t>Commisson Rate 2024</t>
  </si>
  <si>
    <t>CUST005</t>
  </si>
  <si>
    <t>CUST006</t>
  </si>
  <si>
    <t>CUST007</t>
  </si>
  <si>
    <t>CUST008</t>
  </si>
  <si>
    <t>CUST009</t>
  </si>
  <si>
    <t>Commission Total 2023</t>
  </si>
  <si>
    <t>CUST010</t>
  </si>
  <si>
    <t>All Products</t>
  </si>
  <si>
    <t>CUST011</t>
  </si>
  <si>
    <t>CUST012</t>
  </si>
  <si>
    <t>Average Sales</t>
  </si>
  <si>
    <t xml:space="preserve">Average 2023 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</si>
  <si>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</si>
  <si>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</si>
  <si>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</si>
  <si>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</si>
  <si>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</si>
  <si>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</si>
  <si>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</si>
  <si>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</si>
  <si>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</si>
  <si>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</si>
  <si>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</si>
  <si>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</si>
  <si>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</si>
  <si>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</si>
  <si>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</si>
  <si>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</si>
  <si>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</si>
  <si>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</si>
  <si>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</si>
  <si>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</si>
  <si>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</si>
  <si>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</si>
  <si>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</si>
  <si>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</si>
  <si>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</si>
  <si>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</si>
  <si>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</si>
  <si>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</si>
  <si>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</si>
  <si>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</si>
  <si>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</si>
  <si>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</si>
  <si>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</si>
  <si>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</si>
  <si>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</si>
  <si>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</si>
  <si>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</si>
  <si>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</si>
  <si>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</si>
  <si>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</si>
  <si>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</si>
  <si>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</si>
  <si>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</si>
  <si>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</si>
  <si>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</si>
  <si>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</si>
  <si>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</si>
  <si>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</si>
  <si>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</si>
  <si>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</si>
  <si>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</si>
  <si>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</si>
  <si>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</si>
  <si>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</si>
  <si>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</si>
  <si>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</si>
  <si>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</si>
  <si>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</si>
  <si>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</si>
  <si>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</si>
  <si>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</si>
  <si>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</si>
  <si>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</si>
  <si>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</si>
  <si>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</si>
  <si>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</si>
  <si>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</si>
  <si>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</si>
  <si>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</si>
  <si>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</si>
  <si>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</si>
  <si>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</si>
  <si>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</si>
  <si>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</si>
  <si>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</si>
  <si>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</si>
  <si>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</si>
  <si>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</si>
  <si>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</si>
  <si>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</si>
  <si>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</si>
  <si>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</si>
  <si>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</si>
  <si>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</si>
  <si>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</si>
  <si>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</si>
  <si>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</si>
  <si>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</si>
  <si>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</si>
  <si>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</si>
  <si>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</si>
  <si>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</si>
  <si>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</si>
  <si>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</si>
  <si>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</si>
  <si>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</si>
  <si>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</si>
  <si>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</si>
  <si>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</si>
  <si>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</si>
  <si>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</si>
  <si>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</si>
  <si>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</si>
  <si>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</si>
  <si>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</si>
  <si>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</si>
  <si>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</si>
  <si>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</si>
  <si>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</si>
  <si>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</si>
  <si>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</si>
  <si>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</si>
  <si>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</si>
  <si>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</si>
  <si>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</si>
  <si>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</si>
  <si>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</si>
  <si>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</si>
  <si>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</si>
  <si>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</si>
  <si>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</si>
  <si>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</si>
  <si>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</si>
  <si>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</si>
  <si>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</si>
  <si>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</si>
  <si>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</si>
  <si>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</si>
  <si>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</si>
  <si>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</si>
  <si>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</si>
  <si>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</si>
  <si>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</si>
  <si>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</si>
  <si>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</si>
  <si>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</si>
  <si>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</si>
  <si>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</si>
  <si>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</si>
  <si>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</si>
  <si>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</si>
  <si>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</si>
  <si>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</si>
  <si>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</si>
  <si>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</si>
  <si>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</si>
  <si>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</si>
  <si>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</si>
  <si>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</si>
  <si>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</si>
  <si>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</si>
  <si>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</si>
  <si>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</si>
  <si>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</si>
  <si>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</si>
  <si>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</si>
  <si>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</si>
  <si>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</si>
  <si>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</si>
  <si>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</si>
  <si>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</si>
  <si>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</si>
  <si>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</si>
  <si>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</si>
  <si>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</si>
  <si>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</si>
  <si>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</si>
  <si>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</si>
  <si>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</si>
  <si>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</si>
  <si>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</si>
  <si>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</si>
  <si>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</si>
  <si>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</si>
  <si>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</si>
  <si>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</si>
  <si>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</si>
  <si>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</si>
  <si>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</si>
  <si>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</si>
  <si>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</si>
  <si>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</si>
  <si>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</si>
  <si>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</si>
  <si>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</si>
  <si>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</si>
  <si>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</si>
  <si>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</si>
  <si>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</si>
  <si>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</si>
  <si>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</si>
  <si>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</si>
  <si>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</si>
  <si>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</si>
  <si>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</si>
  <si>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</si>
  <si>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</si>
  <si>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</si>
  <si>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</si>
  <si>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</si>
  <si>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</si>
  <si>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</si>
  <si>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</si>
  <si>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</si>
  <si>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</si>
  <si>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</si>
  <si>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</si>
  <si>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</si>
  <si>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</si>
  <si>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</si>
  <si>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</si>
  <si>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</si>
  <si>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</si>
  <si>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</si>
  <si>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</si>
  <si>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</si>
  <si>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</si>
  <si>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</si>
  <si>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</si>
  <si>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</si>
  <si>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</si>
  <si>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</si>
  <si>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</si>
  <si>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</si>
  <si>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</si>
  <si>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</si>
  <si>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</si>
  <si>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</si>
  <si>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</si>
  <si>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</si>
  <si>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</si>
  <si>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</si>
  <si>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</si>
  <si>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</si>
  <si>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</si>
  <si>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</si>
  <si>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</si>
  <si>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</si>
  <si>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</si>
  <si>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</si>
  <si>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</si>
  <si>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</si>
  <si>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</si>
  <si>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</si>
  <si>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</si>
  <si>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</si>
  <si>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</si>
  <si>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</si>
  <si>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</si>
  <si>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</si>
  <si>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</si>
  <si>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</si>
  <si>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</si>
  <si>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</si>
  <si>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</si>
  <si>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</si>
  <si>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</si>
  <si>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</si>
  <si>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</si>
  <si>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</si>
  <si>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</si>
  <si>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</si>
  <si>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</si>
  <si>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</si>
  <si>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</si>
  <si>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</si>
  <si>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</si>
  <si>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</si>
  <si>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</si>
  <si>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</si>
  <si>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</si>
  <si>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</si>
  <si>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</si>
  <si>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</si>
  <si>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</si>
  <si>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</si>
  <si>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</si>
  <si>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</si>
  <si>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</si>
  <si>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</si>
  <si>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</si>
  <si>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</si>
  <si>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</si>
  <si>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</si>
  <si>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</si>
  <si>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</si>
  <si>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</si>
  <si>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</si>
  <si>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</si>
  <si>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</si>
  <si>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</si>
  <si>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</si>
  <si>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</si>
  <si>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</si>
  <si>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</si>
  <si>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</si>
  <si>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</si>
  <si>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</si>
  <si>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</si>
  <si>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</si>
  <si>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</si>
  <si>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</si>
  <si>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</si>
  <si>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</si>
  <si>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</si>
  <si>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</si>
  <si>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</si>
  <si>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</si>
  <si>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</si>
  <si>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</si>
  <si>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</si>
  <si>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</si>
  <si>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</si>
  <si>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</si>
  <si>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</si>
  <si>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</si>
  <si>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</si>
  <si>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</si>
  <si>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</si>
  <si>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</si>
  <si>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</si>
  <si>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</si>
  <si>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</si>
  <si>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</si>
  <si>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</si>
  <si>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</si>
  <si>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</si>
  <si>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</si>
  <si>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</si>
  <si>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</si>
  <si>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</si>
  <si>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</si>
  <si>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</si>
  <si>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</si>
  <si>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</si>
  <si>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</si>
  <si>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</si>
  <si>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</si>
  <si>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</si>
  <si>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</si>
  <si>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</si>
  <si>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</si>
  <si>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</si>
  <si>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</si>
  <si>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</si>
  <si>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</si>
  <si>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</si>
  <si>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</si>
  <si>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</si>
  <si>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</si>
  <si>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</si>
  <si>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</si>
  <si>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</si>
  <si>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</si>
  <si>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</si>
  <si>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</si>
  <si>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</si>
  <si>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</si>
  <si>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</si>
  <si>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</si>
  <si>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</si>
  <si>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</si>
  <si>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</si>
  <si>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</si>
  <si>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</si>
  <si>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</si>
  <si>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</si>
  <si>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</si>
  <si>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</si>
  <si>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</si>
  <si>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</si>
  <si>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</si>
  <si>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</si>
  <si>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</si>
  <si>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</si>
  <si>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</si>
  <si>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</si>
  <si>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</si>
  <si>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</si>
  <si>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</si>
  <si>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</si>
  <si>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</si>
  <si>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</si>
  <si>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</si>
  <si>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</si>
  <si>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</si>
  <si>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</si>
  <si>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</si>
  <si>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</si>
  <si>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</si>
  <si>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</si>
  <si>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</si>
  <si>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</si>
  <si>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</si>
  <si>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</si>
  <si>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</si>
  <si>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</si>
  <si>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</si>
  <si>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</si>
  <si>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</si>
  <si>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</si>
  <si>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</si>
  <si>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</si>
  <si>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</si>
  <si>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</si>
  <si>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</si>
  <si>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</si>
  <si>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</si>
  <si>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</si>
  <si>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</si>
  <si>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</si>
  <si>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</si>
  <si>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</si>
  <si>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</si>
  <si>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</si>
  <si>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</si>
  <si>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</si>
  <si>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</si>
  <si>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</si>
  <si>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</si>
  <si>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</si>
  <si>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</si>
  <si>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</si>
  <si>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</si>
  <si>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</si>
  <si>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</si>
  <si>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</si>
  <si>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</si>
  <si>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</si>
  <si>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</si>
  <si>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</si>
  <si>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</si>
  <si>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</si>
  <si>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</si>
  <si>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</si>
  <si>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</si>
  <si>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</si>
  <si>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</si>
  <si>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</si>
  <si>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</si>
  <si>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</si>
  <si>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</si>
  <si>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</si>
  <si>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</si>
  <si>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</si>
  <si>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</si>
  <si>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</si>
  <si>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</si>
  <si>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</si>
  <si>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</si>
  <si>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</si>
  <si>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</si>
  <si>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</si>
  <si>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</si>
  <si>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</si>
  <si>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</si>
  <si>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</si>
  <si>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</si>
  <si>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</si>
  <si>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</si>
  <si>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</si>
  <si>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</si>
  <si>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</si>
  <si>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</si>
  <si>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</si>
  <si>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</si>
  <si>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</si>
  <si>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</si>
  <si>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</si>
  <si>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</si>
  <si>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</si>
  <si>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</si>
  <si>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</si>
  <si>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</si>
  <si>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</si>
  <si>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</si>
  <si>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</si>
  <si>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</si>
  <si>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</si>
  <si>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</si>
  <si>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</si>
  <si>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</si>
  <si>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</si>
  <si>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</si>
  <si>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</si>
  <si>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</si>
  <si>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</si>
  <si>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</si>
  <si>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</si>
  <si>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</si>
  <si>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</si>
  <si>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</si>
  <si>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</si>
  <si>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</si>
  <si>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</si>
  <si>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</si>
  <si>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</si>
  <si>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</si>
  <si>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</si>
  <si>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</si>
  <si>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</si>
  <si>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</si>
  <si>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</si>
  <si>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</si>
  <si>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</si>
  <si>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</si>
  <si>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</si>
  <si>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</si>
  <si>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</si>
  <si>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</si>
  <si>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</si>
  <si>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</si>
  <si>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</si>
  <si>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</si>
  <si>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</si>
  <si>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</si>
  <si>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</si>
  <si>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</si>
  <si>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</si>
  <si>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</si>
  <si>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</si>
  <si>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</si>
  <si>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</si>
  <si>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</si>
  <si>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</si>
  <si>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</si>
  <si>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</si>
  <si>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</si>
  <si>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</si>
  <si>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</si>
  <si>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</si>
  <si>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</si>
  <si>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</si>
  <si>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</si>
  <si>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</si>
  <si>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</si>
  <si>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</si>
  <si>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</si>
  <si>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</si>
  <si>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</si>
  <si>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</si>
  <si>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</si>
  <si>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</si>
  <si>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</si>
  <si>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</si>
  <si>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</si>
  <si>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</si>
  <si>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</si>
  <si>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</si>
  <si>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</si>
  <si>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</si>
  <si>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</si>
  <si>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</si>
  <si>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</si>
  <si>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</si>
  <si>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</si>
  <si>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</si>
  <si>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</si>
  <si>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</si>
  <si>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</si>
  <si>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</si>
  <si>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</si>
  <si>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</si>
  <si>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</si>
  <si>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</si>
  <si>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</si>
  <si>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</si>
  <si>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</si>
  <si>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</si>
  <si>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</si>
  <si>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</si>
  <si>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</si>
  <si>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</si>
  <si>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</si>
  <si>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</si>
  <si>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</si>
  <si>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</si>
  <si>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</si>
  <si>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</si>
  <si>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</si>
  <si>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</si>
  <si>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</si>
  <si>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</si>
  <si>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</si>
  <si>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</si>
  <si>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</si>
  <si>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</si>
  <si>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</si>
  <si>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</si>
  <si>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</si>
  <si>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</si>
  <si>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</si>
  <si>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</si>
  <si>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</si>
  <si>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</si>
  <si>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</si>
  <si>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</si>
  <si>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</si>
  <si>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</si>
  <si>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</si>
  <si>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</si>
  <si>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</si>
  <si>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</si>
  <si>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</si>
  <si>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</si>
  <si>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</si>
  <si>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</si>
  <si>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</si>
  <si>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</si>
  <si>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</si>
  <si>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</si>
  <si>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</si>
  <si>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</si>
  <si>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</si>
  <si>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</si>
  <si>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</si>
  <si>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</si>
  <si>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</si>
  <si>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</si>
  <si>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</si>
  <si>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</si>
  <si>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</si>
  <si>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</si>
  <si>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</si>
  <si>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</si>
  <si>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</si>
  <si>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</si>
  <si>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</si>
  <si>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</si>
  <si>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</si>
  <si>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</si>
  <si>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</si>
  <si>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</si>
  <si>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</si>
  <si>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</si>
  <si>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</si>
  <si>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</si>
  <si>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</si>
  <si>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</si>
  <si>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</si>
  <si>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</si>
  <si>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</si>
  <si>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</si>
  <si>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</si>
  <si>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</si>
  <si>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</si>
  <si>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</si>
  <si>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</si>
  <si>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</si>
  <si>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</si>
  <si>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</si>
  <si>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</si>
  <si>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</si>
  <si>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</si>
  <si>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</si>
  <si>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</si>
  <si>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</si>
  <si>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</si>
  <si>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</si>
  <si>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</si>
  <si>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</si>
  <si>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</si>
  <si>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</si>
  <si>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</si>
  <si>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</si>
  <si>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</si>
  <si>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</si>
  <si>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</si>
  <si>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</si>
  <si>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</si>
  <si>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</si>
  <si>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</si>
  <si>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</si>
  <si>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</si>
  <si>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</si>
  <si>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</si>
  <si>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</si>
  <si>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</si>
  <si>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</si>
  <si>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</si>
  <si>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</si>
  <si>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</si>
  <si>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</si>
  <si>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</si>
  <si>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</si>
  <si>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</si>
  <si>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</si>
  <si>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</si>
  <si>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</si>
  <si>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</si>
  <si>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</si>
  <si>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</si>
  <si>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</si>
  <si>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</si>
  <si>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</si>
  <si>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</si>
  <si>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</si>
  <si>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</si>
  <si>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</si>
  <si>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</si>
  <si>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</si>
  <si>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</si>
  <si>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</si>
  <si>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</si>
  <si>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</si>
  <si>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</si>
  <si>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</si>
  <si>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</si>
  <si>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</si>
  <si>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</si>
  <si>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</si>
  <si>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</si>
  <si>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</si>
  <si>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</si>
  <si>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</si>
  <si>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</si>
  <si>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</si>
  <si>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</si>
  <si>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</si>
  <si>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</si>
  <si>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</si>
  <si>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</si>
  <si>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</si>
  <si>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</si>
  <si>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</si>
  <si>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</si>
  <si>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</si>
  <si>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</si>
  <si>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</si>
  <si>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</si>
  <si>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</si>
  <si>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</si>
  <si>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</si>
  <si>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</si>
  <si>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</si>
  <si>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</si>
  <si>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</si>
  <si>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</si>
  <si>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</si>
  <si>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</si>
  <si>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</si>
  <si>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</si>
  <si>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</si>
  <si>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</si>
  <si>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</si>
  <si>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</si>
  <si>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</si>
  <si>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</si>
  <si>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</si>
  <si>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</si>
  <si>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</si>
  <si>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</si>
  <si>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</si>
  <si>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</si>
  <si>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</si>
  <si>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</si>
  <si>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</si>
  <si>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</si>
  <si>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</si>
  <si>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</si>
  <si>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</si>
  <si>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</si>
  <si>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</si>
  <si>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</si>
  <si>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</si>
  <si>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</si>
  <si>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</si>
  <si>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</si>
  <si>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</si>
  <si>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</si>
  <si>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</si>
  <si>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</si>
  <si>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</si>
  <si>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</si>
  <si>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</si>
  <si>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</si>
  <si>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</si>
  <si>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</si>
  <si>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</si>
  <si>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</si>
  <si>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</si>
  <si>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</si>
  <si>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</si>
  <si>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</si>
  <si>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</si>
  <si>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</si>
  <si>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</si>
  <si>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</si>
  <si>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</si>
  <si>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</si>
  <si>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</si>
  <si>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</si>
  <si>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</si>
  <si>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</si>
  <si>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</si>
  <si>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</si>
  <si>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</si>
  <si>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</si>
  <si>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</si>
  <si>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</si>
  <si>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</si>
  <si>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</si>
  <si>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</si>
  <si>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</si>
  <si>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</si>
  <si>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</si>
  <si>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</si>
  <si>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</si>
  <si>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</si>
  <si>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</si>
  <si>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</si>
  <si>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</si>
  <si>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</si>
  <si>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</si>
  <si>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</si>
  <si>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</si>
  <si>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</si>
  <si>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</si>
  <si>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</si>
  <si>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</si>
  <si>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</si>
  <si>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</si>
  <si>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</si>
  <si>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</si>
  <si>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</si>
  <si>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</si>
  <si>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</si>
  <si>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</si>
  <si>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</si>
  <si>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</si>
  <si>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</si>
  <si>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</si>
  <si>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</si>
  <si>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</si>
  <si>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</si>
  <si>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</si>
  <si>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</si>
  <si>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</si>
  <si>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</si>
  <si>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</si>
  <si>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</si>
  <si>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</si>
  <si>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</si>
  <si>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</si>
  <si>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</si>
  <si>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</si>
  <si>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</si>
  <si>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</si>
  <si>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</si>
  <si>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</si>
  <si>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</si>
  <si>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</si>
  <si>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</si>
  <si>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</si>
  <si>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</si>
  <si>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</si>
  <si>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</si>
  <si>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</si>
  <si>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</si>
  <si>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</si>
  <si>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</si>
  <si>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</si>
  <si>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</si>
  <si>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</si>
  <si>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</si>
  <si>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</si>
  <si>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</si>
  <si>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</si>
  <si>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</si>
  <si>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</si>
  <si>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</si>
  <si>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</si>
  <si>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</si>
  <si>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</si>
  <si>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</si>
  <si>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</si>
  <si>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</si>
  <si>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</si>
  <si>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</si>
  <si>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</si>
  <si>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</si>
  <si>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</si>
  <si>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</si>
  <si>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</si>
  <si>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</si>
  <si>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</si>
  <si>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</si>
  <si>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</si>
  <si>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</si>
  <si>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</si>
  <si>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</si>
  <si>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</si>
  <si>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</si>
  <si>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</si>
  <si>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</si>
  <si>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</si>
  <si>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</si>
  <si>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</si>
  <si>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</si>
  <si>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</si>
  <si>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</si>
  <si>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</si>
  <si>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</si>
  <si>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</si>
  <si>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</si>
  <si>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</si>
  <si>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</si>
  <si>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</si>
  <si>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</si>
  <si>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</si>
  <si>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</si>
  <si>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</si>
  <si>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</si>
  <si>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</si>
  <si>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</si>
  <si>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</si>
  <si>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</si>
  <si>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</si>
  <si>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</si>
  <si>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</si>
  <si>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</si>
  <si>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</si>
  <si>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</si>
  <si>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</si>
  <si>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</si>
  <si>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</si>
  <si>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</si>
  <si>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</si>
  <si>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</si>
  <si>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</si>
  <si>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</si>
  <si>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</si>
  <si>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</si>
  <si>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</si>
  <si>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</si>
  <si>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</si>
  <si>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</si>
  <si>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</si>
  <si>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</si>
  <si>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</si>
  <si>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</si>
  <si>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</si>
  <si>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</si>
  <si>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</si>
  <si>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</si>
  <si>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</si>
  <si>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</si>
  <si>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</si>
  <si>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</si>
  <si>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</si>
  <si>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</si>
  <si>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</si>
  <si>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</si>
  <si>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</si>
  <si>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</si>
  <si>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</si>
  <si>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</si>
  <si>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</si>
  <si>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</si>
  <si>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</si>
  <si>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</si>
  <si>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</si>
  <si>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</si>
  <si>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</si>
  <si>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</si>
  <si>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</si>
  <si>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</si>
  <si>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</si>
  <si>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</si>
  <si>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</si>
  <si>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</si>
  <si>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</si>
  <si>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</si>
  <si>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</si>
  <si>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</si>
  <si>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</si>
  <si>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</si>
  <si>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</si>
  <si>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</si>
  <si>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</si>
  <si>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</si>
  <si>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</si>
  <si>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</si>
  <si>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</si>
  <si>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</si>
  <si>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</si>
  <si>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CUST211</t>
  </si>
  <si>
    <t>CUST650</t>
  </si>
  <si>
    <t>Product category</t>
  </si>
  <si>
    <t>Concentate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</si>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</sst>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80A]#,##0.00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7" xfId="0" applyFont="1" applyBorder="1"/>
    <xf numFmtId="0" fontId="19" fillId="0" borderId="18" xfId="0" applyFont="1" applyBorder="1"/>
    <xf numFmtId="10" fontId="19" fillId="0" borderId="19" xfId="0" applyNumberFormat="1" applyFont="1" applyBorder="1"/>
    <xf numFmtId="9" fontId="19" fillId="0" borderId="19" xfId="0" applyNumberFormat="1" applyFont="1" applyBorder="1"/>
    <xf numFmtId="164" fontId="0" fillId="0" borderId="0" xfId="0" applyNumberFormat="1"/>
    <xf numFmtId="0" fontId="19" fillId="0" borderId="0" xfId="0" applyFont="1"/>
    <xf numFmtId="10" fontId="19" fillId="0" borderId="0" xfId="0" applyNumberFormat="1" applyFont="1"/>
    <xf numFmtId="9" fontId="19" fillId="0" borderId="0" xfId="0" applyNumberFormat="1" applyFont="1"/>
    <xf numFmtId="2" fontId="0" fillId="0" borderId="0" xfId="0" applyNumberFormat="1"/>
    <xf numFmtId="0" fontId="0" fillId="0" borderId="0" xfId="0" pivotButton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none">
          <fgColor indexed="64"/>
          <bgColor indexed="65"/>
        </patternFill>
      </fill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microsoft.com/office/2007/relationships/slicerCache" Target="slicerCaches/slicerCache3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microsoft.com/office/2007/relationships/slicerCache" Target="slicerCaches/slicerCache1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openxmlformats.org/officeDocument/2006/relationships/sheetMetadata" Target="metadata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latha 0605.xlsx]Sheet1!PivotTable1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Sheet1!$A$4:$B$16</c:f>
              <c:multiLvlStrCache>
                <c:ptCount val="9"/>
                <c:lvl>
                  <c:pt idx="0">
                    <c:v>Adult</c:v>
                  </c:pt>
                  <c:pt idx="1">
                    <c:v>Senior</c:v>
                  </c:pt>
                  <c:pt idx="2">
                    <c:v>Young Adult</c:v>
                  </c:pt>
                  <c:pt idx="3">
                    <c:v>Adult</c:v>
                  </c:pt>
                  <c:pt idx="4">
                    <c:v>Senior</c:v>
                  </c:pt>
                  <c:pt idx="5">
                    <c:v>Young Adult</c:v>
                  </c:pt>
                  <c:pt idx="6">
                    <c:v>Adult</c:v>
                  </c:pt>
                  <c:pt idx="7">
                    <c:v>Senior</c:v>
                  </c:pt>
                  <c:pt idx="8">
                    <c:v>Young Adult</c:v>
                  </c:pt>
                </c:lvl>
                <c:lvl>
                  <c:pt idx="0">
                    <c:v>Beauty</c:v>
                  </c:pt>
                  <c:pt idx="3">
                    <c:v>Clothing</c:v>
                  </c:pt>
                  <c:pt idx="6">
                    <c:v>Electronics</c:v>
                  </c:pt>
                </c:lvl>
              </c:multiLvlStrCache>
            </c:multiLvlStrRef>
          </c:cat>
          <c:val>
            <c:numRef>
              <c:f>Sheet1!$C$4:$C$16</c:f>
              <c:numCache>
                <c:formatCode>0</c:formatCode>
                <c:ptCount val="9"/>
                <c:pt idx="0">
                  <c:v>62780</c:v>
                </c:pt>
                <c:pt idx="1">
                  <c:v>52060</c:v>
                </c:pt>
                <c:pt idx="2">
                  <c:v>27175</c:v>
                </c:pt>
                <c:pt idx="3">
                  <c:v>79440</c:v>
                </c:pt>
                <c:pt idx="4">
                  <c:v>50905</c:v>
                </c:pt>
                <c:pt idx="5">
                  <c:v>25235</c:v>
                </c:pt>
                <c:pt idx="6">
                  <c:v>64350</c:v>
                </c:pt>
                <c:pt idx="7">
                  <c:v>56535</c:v>
                </c:pt>
                <c:pt idx="8">
                  <c:v>35990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4-4EB7-860D-407CB6B7F6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004040"/>
        <c:axId val="209006088"/>
      </c:barChart>
      <c:catAx>
        <c:axId val="209004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6088"/>
        <c:crosses val="autoZero"/>
        <c:auto val="1"/>
        <c:lblAlgn val="ctr"/>
        <c:lblOffset val="100"/>
        <c:noMultiLvlLbl val="0"/>
      </c:catAx>
      <c:valAx>
        <c:axId val="2090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4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3</xdr:row>
      <xdr:rowOff>28575</xdr:rowOff>
    </xdr:from>
    <xdr:to>
      <xdr:col>10</xdr:col>
      <xdr:colOff>323850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7B78F1-7797-9FEE-52B4-6E08D5906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495300</xdr:colOff>
      <xdr:row>18</xdr:row>
      <xdr:rowOff>104775</xdr:rowOff>
    </xdr:from>
    <xdr:to>
      <xdr:col>1</xdr:col>
      <xdr:colOff>923925</xdr:colOff>
      <xdr:row>31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der">
              <a:extLst>
                <a:ext uri="{FF2B5EF4-FFF2-40B4-BE49-F238E27FC236}">
                  <a16:creationId xmlns:a16="http://schemas.microsoft.com/office/drawing/2014/main" id="{154CEC79-4E4B-9899-60DC-28CF42B85486}"/>
                </a:ext>
                <a:ext uri="{147F2762-F138-4A5C-976F-8EAC2B608ADB}">
                  <a16:predDERef xmlns:a16="http://schemas.microsoft.com/office/drawing/2014/main" pred="{637B78F1-7797-9FEE-52B4-6E08D59068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" y="3705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542925</xdr:colOff>
      <xdr:row>18</xdr:row>
      <xdr:rowOff>133350</xdr:rowOff>
    </xdr:from>
    <xdr:to>
      <xdr:col>3</xdr:col>
      <xdr:colOff>1133475</xdr:colOff>
      <xdr:row>31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neration">
              <a:extLst>
                <a:ext uri="{FF2B5EF4-FFF2-40B4-BE49-F238E27FC236}">
                  <a16:creationId xmlns:a16="http://schemas.microsoft.com/office/drawing/2014/main" id="{A843CCE6-94F8-3839-AB94-5B53483D6FE6}"/>
                </a:ext>
                <a:ext uri="{147F2762-F138-4A5C-976F-8EAC2B608ADB}">
                  <a16:predDERef xmlns:a16="http://schemas.microsoft.com/office/drawing/2014/main" pred="{154CEC79-4E4B-9899-60DC-28CF42B854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2750" y="37338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514350</xdr:colOff>
      <xdr:row>18</xdr:row>
      <xdr:rowOff>161925</xdr:rowOff>
    </xdr:from>
    <xdr:to>
      <xdr:col>7</xdr:col>
      <xdr:colOff>19050</xdr:colOff>
      <xdr:row>32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ct Category">
              <a:extLst>
                <a:ext uri="{FF2B5EF4-FFF2-40B4-BE49-F238E27FC236}">
                  <a16:creationId xmlns:a16="http://schemas.microsoft.com/office/drawing/2014/main" id="{AE66A4C5-C4D1-07E5-6250-0122E0D51B02}"/>
                </a:ext>
                <a:ext uri="{147F2762-F138-4A5C-976F-8EAC2B608ADB}">
                  <a16:predDERef xmlns:a16="http://schemas.microsoft.com/office/drawing/2014/main" pred="{A843CCE6-94F8-3839-AB94-5B53483D6F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00675" y="37623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114300</xdr:colOff>
      <xdr:row>19</xdr:row>
      <xdr:rowOff>123825</xdr:rowOff>
    </xdr:from>
    <xdr:to>
      <xdr:col>13</xdr:col>
      <xdr:colOff>571500</xdr:colOff>
      <xdr:row>32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Year">
              <a:extLst>
                <a:ext uri="{FF2B5EF4-FFF2-40B4-BE49-F238E27FC236}">
                  <a16:creationId xmlns:a16="http://schemas.microsoft.com/office/drawing/2014/main" id="{1187F36B-32C0-1B63-598F-3B48F133415D}"/>
                </a:ext>
                <a:ext uri="{147F2762-F138-4A5C-976F-8EAC2B608ADB}">
                  <a16:predDERef xmlns:a16="http://schemas.microsoft.com/office/drawing/2014/main" pred="{AE66A4C5-C4D1-07E5-6250-0122E0D51B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67925" y="39243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295275</xdr:colOff>
      <xdr:row>18</xdr:row>
      <xdr:rowOff>190500</xdr:rowOff>
    </xdr:from>
    <xdr:to>
      <xdr:col>10</xdr:col>
      <xdr:colOff>66675</xdr:colOff>
      <xdr:row>32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onth">
              <a:extLst>
                <a:ext uri="{FF2B5EF4-FFF2-40B4-BE49-F238E27FC236}">
                  <a16:creationId xmlns:a16="http://schemas.microsoft.com/office/drawing/2014/main" id="{F804101E-A68E-A8BE-2162-C8F150E085DE}"/>
                </a:ext>
                <a:ext uri="{147F2762-F138-4A5C-976F-8EAC2B608ADB}">
                  <a16:predDERef xmlns:a16="http://schemas.microsoft.com/office/drawing/2014/main" pred="{1187F36B-32C0-1B63-598F-3B48F13341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5700" y="3790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488500810185" createdVersion="8" refreshedVersion="8" minRefreshableVersion="3" recordCount="1003" xr:uid="{AE0687F7-5CCE-4015-9D48-932117BB84A8}">
  <cacheSource type="worksheet">
    <worksheetSource ref="A1:Q1004" sheet="retail_sales_dataset"/>
  </cacheSource>
  <cacheFields count="17">
    <cacheField name="Transaction ID" numFmtId="0">
      <sharedItems containsString="0" containsBlank="1" containsNumber="1" containsInteger="1" minValue="1" maxValue="1000"/>
    </cacheField>
    <cacheField name="Year" numFmtId="0">
      <sharedItems containsString="0" containsBlank="1" containsNumber="1" containsInteger="1" minValue="2023" maxValue="2024" count="3">
        <n v="2023"/>
        <n v="2024"/>
        <m/>
      </sharedItems>
    </cacheField>
    <cacheField name="month" numFmtId="0">
      <sharedItems containsString="0" containsBlank="1" containsNumber="1" containsInteger="1" minValue="1" maxValue="12" count="13">
        <n v="11"/>
        <n v="2"/>
        <n v="1"/>
        <n v="5"/>
        <n v="4"/>
        <n v="3"/>
        <n v="12"/>
        <n v="10"/>
        <n v="8"/>
        <n v="9"/>
        <n v="6"/>
        <n v="7"/>
        <m/>
      </sharedItems>
    </cacheField>
    <cacheField name="day" numFmtId="0">
      <sharedItems containsString="0" containsBlank="1" containsNumber="1" containsInteger="1" minValue="1" maxValue="31"/>
    </cacheField>
    <cacheField name="day name" numFmtId="0">
      <sharedItems containsBlank="1"/>
    </cacheField>
    <cacheField name="month2" numFmtId="0">
      <sharedItems/>
    </cacheField>
    <cacheField name="Field7" caption="Field7" numFmtId="0">
      <sharedItems containsBlank="1"/>
    </cacheField>
    <cacheField name="Date" numFmtId="0">
      <sharedItems containsNonDate="0" containsDate="1" containsString="0" containsBlank="1" minDate="2023-01-01T00:00:00" maxDate="2024-01-02T00:00:00"/>
    </cacheField>
    <cacheField name="Customer ID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18" maxValue="64"/>
    </cacheField>
    <cacheField name="Generation" numFmtId="0">
      <sharedItems containsBlank="1" count="4">
        <s v="Senior"/>
        <s v="Adult"/>
        <s v="Young Adult"/>
        <m/>
      </sharedItems>
    </cacheField>
    <cacheField name="Product Category" numFmtId="0">
      <sharedItems containsBlank="1" count="4">
        <s v="Beauty"/>
        <s v="Clothing"/>
        <s v="Electronics"/>
        <m/>
      </sharedItems>
    </cacheField>
    <cacheField name="Quantity" numFmtId="0">
      <sharedItems containsString="0" containsBlank="1" containsNumber="1" containsInteger="1" minValue="1" maxValue="4"/>
    </cacheField>
    <cacheField name="Price per Unit" numFmtId="0">
      <sharedItems containsString="0" containsBlank="1" containsNumber="1" containsInteger="1" minValue="25" maxValue="500"/>
    </cacheField>
    <cacheField name="Total Sales" numFmtId="0">
      <sharedItems containsString="0" containsBlank="1" containsNumber="1" containsInteger="1" minValue="25" maxValue="2000" count="19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  <m/>
      </sharedItems>
    </cacheField>
    <cacheField name="Commission 2023" numFmtId="0">
      <sharedItems containsString="0" containsBlank="1" containsNumber="1" minValue="0.375" maxValue="30"/>
    </cacheField>
  </cacheFields>
  <extLst>
    <ext xmlns:x14="http://schemas.microsoft.com/office/spreadsheetml/2009/9/main" uri="{725AE2AE-9491-48be-B2B4-4EB974FC3084}">
      <x14:pivotCacheDefinition pivotCacheId="14003025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3">
  <r>
    <n v="1"/>
    <x v="0"/>
    <x v="0"/>
    <n v="24"/>
    <s v="Friday"/>
    <s v="November"/>
    <s v="show"/>
    <d v="2023-11-24T00:00:00"/>
    <s v="CUST001"/>
    <x v="0"/>
    <n v="64"/>
    <x v="0"/>
    <x v="0"/>
    <n v="3"/>
    <n v="50"/>
    <x v="0"/>
    <n v="2.25"/>
  </r>
  <r>
    <n v="2"/>
    <x v="0"/>
    <x v="1"/>
    <n v="27"/>
    <s v="Monday"/>
    <s v="February"/>
    <m/>
    <d v="2023-02-27T00:00:00"/>
    <s v="CUST002"/>
    <x v="1"/>
    <n v="64"/>
    <x v="0"/>
    <x v="1"/>
    <n v="2"/>
    <n v="500"/>
    <x v="1"/>
    <n v="15"/>
  </r>
  <r>
    <n v="3"/>
    <x v="0"/>
    <x v="2"/>
    <n v="13"/>
    <s v="Friday"/>
    <s v="January"/>
    <m/>
    <d v="2023-01-13T00:00:00"/>
    <s v="CUST003"/>
    <x v="0"/>
    <n v="64"/>
    <x v="0"/>
    <x v="2"/>
    <n v="1"/>
    <n v="30"/>
    <x v="2"/>
    <n v="0.44999999999999996"/>
  </r>
  <r>
    <n v="4"/>
    <x v="0"/>
    <x v="3"/>
    <n v="21"/>
    <s v="Sunday"/>
    <s v="May"/>
    <m/>
    <d v="2023-05-21T00:00:00"/>
    <s v="CUST004"/>
    <x v="0"/>
    <n v="64"/>
    <x v="0"/>
    <x v="1"/>
    <n v="1"/>
    <n v="500"/>
    <x v="3"/>
    <n v="7.5"/>
  </r>
  <r>
    <n v="5"/>
    <x v="0"/>
    <x v="3"/>
    <n v="6"/>
    <s v="Saturday"/>
    <s v="May"/>
    <m/>
    <d v="2023-05-06T00:00:00"/>
    <s v="CUST005"/>
    <x v="0"/>
    <n v="64"/>
    <x v="0"/>
    <x v="0"/>
    <n v="2"/>
    <n v="50"/>
    <x v="4"/>
    <n v="1.5"/>
  </r>
  <r>
    <n v="6"/>
    <x v="0"/>
    <x v="4"/>
    <n v="25"/>
    <s v="Tuesday"/>
    <s v="April"/>
    <m/>
    <d v="2023-04-25T00:00:00"/>
    <s v="CUST006"/>
    <x v="1"/>
    <n v="64"/>
    <x v="0"/>
    <x v="0"/>
    <n v="1"/>
    <n v="30"/>
    <x v="2"/>
    <n v="0.44999999999999996"/>
  </r>
  <r>
    <n v="7"/>
    <x v="0"/>
    <x v="5"/>
    <n v="13"/>
    <s v="Monday"/>
    <s v="March"/>
    <m/>
    <d v="2023-03-13T00:00:00"/>
    <s v="CUST007"/>
    <x v="0"/>
    <n v="64"/>
    <x v="0"/>
    <x v="1"/>
    <n v="2"/>
    <n v="25"/>
    <x v="5"/>
    <n v="0.75"/>
  </r>
  <r>
    <n v="8"/>
    <x v="0"/>
    <x v="1"/>
    <n v="22"/>
    <s v="Wednesday"/>
    <s v="February"/>
    <m/>
    <d v="2023-02-22T00:00:00"/>
    <s v="CUST008"/>
    <x v="0"/>
    <n v="64"/>
    <x v="0"/>
    <x v="2"/>
    <n v="4"/>
    <n v="25"/>
    <x v="4"/>
    <n v="1.5"/>
  </r>
  <r>
    <n v="9"/>
    <x v="0"/>
    <x v="6"/>
    <n v="13"/>
    <s v="Wednesday"/>
    <s v="December"/>
    <m/>
    <d v="2023-12-13T00:00:00"/>
    <s v="CUST009"/>
    <x v="0"/>
    <n v="64"/>
    <x v="0"/>
    <x v="2"/>
    <n v="2"/>
    <n v="300"/>
    <x v="6"/>
    <n v="9"/>
  </r>
  <r>
    <n v="10"/>
    <x v="0"/>
    <x v="7"/>
    <n v="7"/>
    <s v="Saturday"/>
    <s v="October"/>
    <m/>
    <d v="2023-10-07T00:00:00"/>
    <s v="CUST010"/>
    <x v="1"/>
    <n v="64"/>
    <x v="0"/>
    <x v="1"/>
    <n v="4"/>
    <n v="50"/>
    <x v="7"/>
    <n v="3"/>
  </r>
  <r>
    <n v="11"/>
    <x v="0"/>
    <x v="1"/>
    <n v="14"/>
    <s v="Tuesday"/>
    <s v="February"/>
    <m/>
    <d v="2023-02-14T00:00:00"/>
    <s v="CUST011"/>
    <x v="0"/>
    <n v="64"/>
    <x v="0"/>
    <x v="1"/>
    <n v="2"/>
    <n v="50"/>
    <x v="4"/>
    <n v="1.5"/>
  </r>
  <r>
    <n v="12"/>
    <x v="0"/>
    <x v="7"/>
    <n v="30"/>
    <s v="Monday"/>
    <s v="October"/>
    <m/>
    <d v="2023-10-30T00:00:00"/>
    <s v="CUST012"/>
    <x v="0"/>
    <n v="64"/>
    <x v="0"/>
    <x v="0"/>
    <n v="3"/>
    <n v="25"/>
    <x v="8"/>
    <n v="1.125"/>
  </r>
  <r>
    <n v="13"/>
    <x v="0"/>
    <x v="8"/>
    <n v="5"/>
    <s v="Saturday"/>
    <s v="August"/>
    <m/>
    <d v="2023-08-05T00:00:00"/>
    <s v="CUST013"/>
    <x v="0"/>
    <n v="64"/>
    <x v="0"/>
    <x v="2"/>
    <n v="3"/>
    <n v="500"/>
    <x v="9"/>
    <n v="22.5"/>
  </r>
  <r>
    <n v="14"/>
    <x v="0"/>
    <x v="2"/>
    <n v="17"/>
    <s v="Tuesday"/>
    <s v="January"/>
    <m/>
    <d v="2023-01-17T00:00:00"/>
    <s v="CUST014"/>
    <x v="0"/>
    <n v="64"/>
    <x v="0"/>
    <x v="1"/>
    <n v="4"/>
    <n v="30"/>
    <x v="10"/>
    <n v="1.7999999999999998"/>
  </r>
  <r>
    <n v="15"/>
    <x v="0"/>
    <x v="2"/>
    <n v="16"/>
    <s v="Monday"/>
    <s v="January"/>
    <m/>
    <d v="2023-01-16T00:00:00"/>
    <s v="CUST015"/>
    <x v="1"/>
    <n v="64"/>
    <x v="0"/>
    <x v="2"/>
    <n v="4"/>
    <n v="500"/>
    <x v="11"/>
    <n v="30"/>
  </r>
  <r>
    <n v="16"/>
    <x v="0"/>
    <x v="1"/>
    <n v="17"/>
    <s v="Friday"/>
    <s v="February"/>
    <m/>
    <d v="2023-02-17T00:00:00"/>
    <s v="CUST016"/>
    <x v="0"/>
    <n v="64"/>
    <x v="0"/>
    <x v="1"/>
    <n v="3"/>
    <n v="500"/>
    <x v="9"/>
    <n v="22.5"/>
  </r>
  <r>
    <n v="17"/>
    <x v="0"/>
    <x v="4"/>
    <n v="22"/>
    <s v="Saturday"/>
    <s v="April"/>
    <m/>
    <d v="2023-04-22T00:00:00"/>
    <s v="CUST017"/>
    <x v="1"/>
    <n v="64"/>
    <x v="0"/>
    <x v="1"/>
    <n v="4"/>
    <n v="25"/>
    <x v="4"/>
    <n v="1.5"/>
  </r>
  <r>
    <n v="18"/>
    <x v="0"/>
    <x v="4"/>
    <n v="30"/>
    <s v="Sunday"/>
    <s v="April"/>
    <m/>
    <d v="2023-04-30T00:00:00"/>
    <s v="CUST018"/>
    <x v="1"/>
    <n v="64"/>
    <x v="0"/>
    <x v="2"/>
    <n v="2"/>
    <n v="25"/>
    <x v="5"/>
    <n v="0.75"/>
  </r>
  <r>
    <n v="19"/>
    <x v="0"/>
    <x v="9"/>
    <n v="16"/>
    <s v="Saturday"/>
    <s v="September"/>
    <m/>
    <d v="2023-09-16T00:00:00"/>
    <s v="CUST019"/>
    <x v="1"/>
    <n v="64"/>
    <x v="0"/>
    <x v="1"/>
    <n v="2"/>
    <n v="25"/>
    <x v="5"/>
    <n v="0.75"/>
  </r>
  <r>
    <n v="20"/>
    <x v="0"/>
    <x v="0"/>
    <n v="5"/>
    <s v="Sunday"/>
    <s v="November"/>
    <m/>
    <d v="2023-11-05T00:00:00"/>
    <s v="CUST020"/>
    <x v="0"/>
    <n v="64"/>
    <x v="0"/>
    <x v="1"/>
    <n v="3"/>
    <n v="300"/>
    <x v="12"/>
    <n v="13.5"/>
  </r>
  <r>
    <n v="21"/>
    <x v="0"/>
    <x v="2"/>
    <n v="14"/>
    <s v="Saturday"/>
    <s v="January"/>
    <m/>
    <d v="2023-01-14T00:00:00"/>
    <s v="CUST021"/>
    <x v="1"/>
    <n v="64"/>
    <x v="0"/>
    <x v="0"/>
    <n v="1"/>
    <n v="500"/>
    <x v="3"/>
    <n v="7.5"/>
  </r>
  <r>
    <n v="22"/>
    <x v="0"/>
    <x v="7"/>
    <n v="15"/>
    <s v="Sunday"/>
    <s v="October"/>
    <m/>
    <d v="2023-10-15T00:00:00"/>
    <s v="CUST022"/>
    <x v="0"/>
    <n v="64"/>
    <x v="0"/>
    <x v="1"/>
    <n v="2"/>
    <n v="50"/>
    <x v="4"/>
    <n v="1.5"/>
  </r>
  <r>
    <n v="23"/>
    <x v="0"/>
    <x v="4"/>
    <n v="12"/>
    <s v="Wednesday"/>
    <s v="April"/>
    <m/>
    <d v="2023-04-12T00:00:00"/>
    <s v="CUST023"/>
    <x v="1"/>
    <n v="64"/>
    <x v="0"/>
    <x v="1"/>
    <n v="4"/>
    <n v="30"/>
    <x v="10"/>
    <n v="1.7999999999999998"/>
  </r>
  <r>
    <n v="24"/>
    <x v="0"/>
    <x v="0"/>
    <n v="29"/>
    <s v="Wednesday"/>
    <s v="November"/>
    <m/>
    <d v="2023-11-29T00:00:00"/>
    <s v="CUST024"/>
    <x v="1"/>
    <n v="64"/>
    <x v="0"/>
    <x v="1"/>
    <n v="1"/>
    <n v="300"/>
    <x v="13"/>
    <n v="4.5"/>
  </r>
  <r>
    <n v="25"/>
    <x v="0"/>
    <x v="6"/>
    <n v="26"/>
    <s v="Tuesday"/>
    <s v="December"/>
    <m/>
    <d v="2023-12-26T00:00:00"/>
    <s v="CUST025"/>
    <x v="1"/>
    <n v="64"/>
    <x v="0"/>
    <x v="0"/>
    <n v="1"/>
    <n v="50"/>
    <x v="5"/>
    <n v="0.75"/>
  </r>
  <r>
    <n v="26"/>
    <x v="0"/>
    <x v="7"/>
    <n v="7"/>
    <s v="Saturday"/>
    <s v="October"/>
    <m/>
    <d v="2023-10-07T00:00:00"/>
    <s v="CUST026"/>
    <x v="1"/>
    <n v="64"/>
    <x v="0"/>
    <x v="2"/>
    <n v="2"/>
    <n v="500"/>
    <x v="1"/>
    <n v="15"/>
  </r>
  <r>
    <n v="27"/>
    <x v="0"/>
    <x v="8"/>
    <n v="3"/>
    <s v="Thursday"/>
    <s v="August"/>
    <m/>
    <d v="2023-08-03T00:00:00"/>
    <s v="CUST027"/>
    <x v="1"/>
    <n v="64"/>
    <x v="0"/>
    <x v="0"/>
    <n v="2"/>
    <n v="25"/>
    <x v="5"/>
    <n v="0.75"/>
  </r>
  <r>
    <n v="28"/>
    <x v="0"/>
    <x v="4"/>
    <n v="23"/>
    <s v="Sunday"/>
    <s v="April"/>
    <m/>
    <d v="2023-04-23T00:00:00"/>
    <s v="CUST028"/>
    <x v="1"/>
    <n v="64"/>
    <x v="0"/>
    <x v="0"/>
    <n v="1"/>
    <n v="500"/>
    <x v="3"/>
    <n v="7.5"/>
  </r>
  <r>
    <n v="29"/>
    <x v="0"/>
    <x v="8"/>
    <n v="18"/>
    <s v="Friday"/>
    <s v="August"/>
    <m/>
    <d v="2023-08-18T00:00:00"/>
    <s v="CUST029"/>
    <x v="1"/>
    <n v="64"/>
    <x v="0"/>
    <x v="2"/>
    <n v="1"/>
    <n v="30"/>
    <x v="2"/>
    <n v="0.44999999999999996"/>
  </r>
  <r>
    <n v="30"/>
    <x v="0"/>
    <x v="7"/>
    <n v="29"/>
    <s v="Sunday"/>
    <s v="October"/>
    <m/>
    <d v="2023-10-29T00:00:00"/>
    <s v="CUST030"/>
    <x v="1"/>
    <n v="64"/>
    <x v="0"/>
    <x v="0"/>
    <n v="3"/>
    <n v="300"/>
    <x v="12"/>
    <n v="13.5"/>
  </r>
  <r>
    <n v="31"/>
    <x v="0"/>
    <x v="3"/>
    <n v="23"/>
    <s v="Tuesday"/>
    <s v="May"/>
    <m/>
    <d v="2023-05-23T00:00:00"/>
    <s v="CUST031"/>
    <x v="0"/>
    <n v="64"/>
    <x v="0"/>
    <x v="2"/>
    <n v="4"/>
    <n v="300"/>
    <x v="14"/>
    <n v="18"/>
  </r>
  <r>
    <n v="32"/>
    <x v="0"/>
    <x v="2"/>
    <n v="4"/>
    <s v="Wednesday"/>
    <s v="January"/>
    <m/>
    <d v="2023-01-04T00:00:00"/>
    <s v="CUST032"/>
    <x v="0"/>
    <n v="63"/>
    <x v="0"/>
    <x v="0"/>
    <n v="3"/>
    <n v="30"/>
    <x v="15"/>
    <n v="1.3499999999999999"/>
  </r>
  <r>
    <n v="33"/>
    <x v="0"/>
    <x v="5"/>
    <n v="23"/>
    <s v="Thursday"/>
    <s v="March"/>
    <m/>
    <d v="2023-03-23T00:00:00"/>
    <s v="CUST033"/>
    <x v="1"/>
    <n v="63"/>
    <x v="0"/>
    <x v="2"/>
    <n v="2"/>
    <n v="50"/>
    <x v="4"/>
    <n v="1.5"/>
  </r>
  <r>
    <n v="34"/>
    <x v="0"/>
    <x v="6"/>
    <n v="24"/>
    <s v="Sunday"/>
    <s v="December"/>
    <m/>
    <d v="2023-12-24T00:00:00"/>
    <s v="CUST034"/>
    <x v="1"/>
    <n v="63"/>
    <x v="0"/>
    <x v="1"/>
    <n v="3"/>
    <n v="50"/>
    <x v="0"/>
    <n v="2.25"/>
  </r>
  <r>
    <n v="35"/>
    <x v="0"/>
    <x v="8"/>
    <n v="5"/>
    <s v="Saturday"/>
    <s v="August"/>
    <m/>
    <d v="2023-08-05T00:00:00"/>
    <s v="CUST035"/>
    <x v="1"/>
    <n v="63"/>
    <x v="0"/>
    <x v="0"/>
    <n v="3"/>
    <n v="300"/>
    <x v="12"/>
    <n v="13.5"/>
  </r>
  <r>
    <n v="36"/>
    <x v="0"/>
    <x v="10"/>
    <n v="24"/>
    <s v="Saturday"/>
    <s v="June"/>
    <m/>
    <d v="2023-06-24T00:00:00"/>
    <s v="CUST036"/>
    <x v="0"/>
    <n v="63"/>
    <x v="0"/>
    <x v="0"/>
    <n v="3"/>
    <n v="300"/>
    <x v="12"/>
    <n v="13.5"/>
  </r>
  <r>
    <n v="37"/>
    <x v="0"/>
    <x v="3"/>
    <n v="23"/>
    <s v="Tuesday"/>
    <s v="May"/>
    <m/>
    <d v="2023-05-23T00:00:00"/>
    <s v="CUST037"/>
    <x v="1"/>
    <n v="63"/>
    <x v="0"/>
    <x v="0"/>
    <n v="3"/>
    <n v="25"/>
    <x v="8"/>
    <n v="1.125"/>
  </r>
  <r>
    <n v="38"/>
    <x v="0"/>
    <x v="5"/>
    <n v="21"/>
    <s v="Tuesday"/>
    <s v="March"/>
    <m/>
    <d v="2023-03-21T00:00:00"/>
    <s v="CUST038"/>
    <x v="0"/>
    <n v="63"/>
    <x v="0"/>
    <x v="0"/>
    <n v="4"/>
    <n v="50"/>
    <x v="7"/>
    <n v="3"/>
  </r>
  <r>
    <n v="39"/>
    <x v="0"/>
    <x v="4"/>
    <n v="21"/>
    <s v="Friday"/>
    <s v="April"/>
    <m/>
    <d v="2023-04-21T00:00:00"/>
    <s v="CUST039"/>
    <x v="0"/>
    <n v="63"/>
    <x v="0"/>
    <x v="1"/>
    <n v="4"/>
    <n v="30"/>
    <x v="10"/>
    <n v="1.7999999999999998"/>
  </r>
  <r>
    <n v="40"/>
    <x v="0"/>
    <x v="10"/>
    <n v="22"/>
    <s v="Thursday"/>
    <s v="June"/>
    <m/>
    <d v="2023-06-22T00:00:00"/>
    <s v="CUST040"/>
    <x v="0"/>
    <n v="63"/>
    <x v="0"/>
    <x v="0"/>
    <n v="1"/>
    <n v="50"/>
    <x v="5"/>
    <n v="0.75"/>
  </r>
  <r>
    <n v="41"/>
    <x v="0"/>
    <x v="1"/>
    <n v="22"/>
    <s v="Wednesday"/>
    <s v="February"/>
    <m/>
    <d v="2023-02-22T00:00:00"/>
    <s v="CUST041"/>
    <x v="0"/>
    <n v="63"/>
    <x v="0"/>
    <x v="1"/>
    <n v="2"/>
    <n v="25"/>
    <x v="5"/>
    <n v="0.75"/>
  </r>
  <r>
    <n v="42"/>
    <x v="0"/>
    <x v="1"/>
    <n v="17"/>
    <s v="Friday"/>
    <s v="February"/>
    <m/>
    <d v="2023-02-17T00:00:00"/>
    <s v="CUST042"/>
    <x v="0"/>
    <n v="63"/>
    <x v="0"/>
    <x v="1"/>
    <n v="3"/>
    <n v="300"/>
    <x v="12"/>
    <n v="13.5"/>
  </r>
  <r>
    <n v="43"/>
    <x v="0"/>
    <x v="11"/>
    <n v="14"/>
    <s v="Friday"/>
    <s v="July"/>
    <m/>
    <d v="2023-07-14T00:00:00"/>
    <s v="CUST043"/>
    <x v="1"/>
    <n v="63"/>
    <x v="0"/>
    <x v="1"/>
    <n v="1"/>
    <n v="300"/>
    <x v="13"/>
    <n v="4.5"/>
  </r>
  <r>
    <n v="44"/>
    <x v="0"/>
    <x v="1"/>
    <n v="19"/>
    <s v="Sunday"/>
    <s v="February"/>
    <m/>
    <d v="2023-02-19T00:00:00"/>
    <s v="CUST044"/>
    <x v="1"/>
    <n v="63"/>
    <x v="0"/>
    <x v="1"/>
    <n v="1"/>
    <n v="25"/>
    <x v="16"/>
    <n v="0.375"/>
  </r>
  <r>
    <n v="45"/>
    <x v="0"/>
    <x v="11"/>
    <n v="3"/>
    <s v="Monday"/>
    <s v="July"/>
    <m/>
    <d v="2023-07-03T00:00:00"/>
    <s v="CUST045"/>
    <x v="1"/>
    <n v="63"/>
    <x v="0"/>
    <x v="2"/>
    <n v="1"/>
    <n v="30"/>
    <x v="2"/>
    <n v="0.44999999999999996"/>
  </r>
  <r>
    <n v="46"/>
    <x v="0"/>
    <x v="10"/>
    <n v="26"/>
    <s v="Monday"/>
    <s v="June"/>
    <m/>
    <d v="2023-06-26T00:00:00"/>
    <s v="CUST046"/>
    <x v="1"/>
    <n v="63"/>
    <x v="0"/>
    <x v="2"/>
    <n v="4"/>
    <n v="300"/>
    <x v="14"/>
    <n v="18"/>
  </r>
  <r>
    <n v="47"/>
    <x v="0"/>
    <x v="0"/>
    <n v="6"/>
    <s v="Monday"/>
    <s v="November"/>
    <m/>
    <d v="2023-11-06T00:00:00"/>
    <s v="CUST047"/>
    <x v="1"/>
    <n v="63"/>
    <x v="0"/>
    <x v="0"/>
    <n v="3"/>
    <n v="500"/>
    <x v="9"/>
    <n v="22.5"/>
  </r>
  <r>
    <n v="48"/>
    <x v="0"/>
    <x v="3"/>
    <n v="16"/>
    <s v="Tuesday"/>
    <s v="May"/>
    <m/>
    <d v="2023-05-16T00:00:00"/>
    <s v="CUST048"/>
    <x v="0"/>
    <n v="63"/>
    <x v="0"/>
    <x v="2"/>
    <n v="3"/>
    <n v="300"/>
    <x v="12"/>
    <n v="13.5"/>
  </r>
  <r>
    <n v="49"/>
    <x v="0"/>
    <x v="2"/>
    <n v="23"/>
    <s v="Monday"/>
    <s v="January"/>
    <m/>
    <d v="2023-01-23T00:00:00"/>
    <s v="CUST049"/>
    <x v="1"/>
    <n v="62"/>
    <x v="0"/>
    <x v="2"/>
    <n v="2"/>
    <n v="500"/>
    <x v="1"/>
    <n v="15"/>
  </r>
  <r>
    <n v="50"/>
    <x v="0"/>
    <x v="8"/>
    <n v="24"/>
    <s v="Thursday"/>
    <s v="August"/>
    <m/>
    <d v="2023-08-24T00:00:00"/>
    <s v="CUST050"/>
    <x v="1"/>
    <n v="62"/>
    <x v="0"/>
    <x v="0"/>
    <n v="3"/>
    <n v="25"/>
    <x v="8"/>
    <n v="1.125"/>
  </r>
  <r>
    <n v="51"/>
    <x v="0"/>
    <x v="7"/>
    <n v="2"/>
    <s v="Monday"/>
    <s v="October"/>
    <m/>
    <d v="2023-10-02T00:00:00"/>
    <s v="CUST051"/>
    <x v="0"/>
    <n v="62"/>
    <x v="0"/>
    <x v="0"/>
    <n v="3"/>
    <n v="25"/>
    <x v="8"/>
    <n v="1.125"/>
  </r>
  <r>
    <n v="52"/>
    <x v="0"/>
    <x v="5"/>
    <n v="5"/>
    <s v="Sunday"/>
    <s v="March"/>
    <m/>
    <d v="2023-03-05T00:00:00"/>
    <s v="CUST052"/>
    <x v="1"/>
    <n v="62"/>
    <x v="0"/>
    <x v="0"/>
    <n v="1"/>
    <n v="300"/>
    <x v="13"/>
    <n v="4.5"/>
  </r>
  <r>
    <n v="53"/>
    <x v="0"/>
    <x v="11"/>
    <n v="13"/>
    <s v="Thursday"/>
    <s v="July"/>
    <m/>
    <d v="2023-07-13T00:00:00"/>
    <s v="CUST053"/>
    <x v="0"/>
    <n v="62"/>
    <x v="0"/>
    <x v="2"/>
    <n v="2"/>
    <n v="50"/>
    <x v="4"/>
    <n v="1.5"/>
  </r>
  <r>
    <n v="54"/>
    <x v="0"/>
    <x v="1"/>
    <n v="10"/>
    <s v="Friday"/>
    <s v="February"/>
    <m/>
    <d v="2023-02-10T00:00:00"/>
    <s v="CUST054"/>
    <x v="1"/>
    <n v="62"/>
    <x v="0"/>
    <x v="2"/>
    <n v="3"/>
    <n v="500"/>
    <x v="9"/>
    <n v="22.5"/>
  </r>
  <r>
    <n v="55"/>
    <x v="0"/>
    <x v="7"/>
    <n v="10"/>
    <s v="Tuesday"/>
    <s v="October"/>
    <m/>
    <d v="2023-10-10T00:00:00"/>
    <s v="CUST055"/>
    <x v="0"/>
    <n v="62"/>
    <x v="0"/>
    <x v="0"/>
    <n v="4"/>
    <n v="30"/>
    <x v="10"/>
    <n v="1.7999999999999998"/>
  </r>
  <r>
    <n v="56"/>
    <x v="0"/>
    <x v="3"/>
    <n v="31"/>
    <s v="Wednesday"/>
    <s v="May"/>
    <m/>
    <d v="2023-05-31T00:00:00"/>
    <s v="CUST056"/>
    <x v="1"/>
    <n v="62"/>
    <x v="0"/>
    <x v="1"/>
    <n v="3"/>
    <n v="300"/>
    <x v="12"/>
    <n v="13.5"/>
  </r>
  <r>
    <n v="57"/>
    <x v="0"/>
    <x v="0"/>
    <n v="18"/>
    <s v="Saturday"/>
    <s v="November"/>
    <m/>
    <d v="2023-11-18T00:00:00"/>
    <s v="CUST057"/>
    <x v="1"/>
    <n v="62"/>
    <x v="0"/>
    <x v="0"/>
    <n v="1"/>
    <n v="30"/>
    <x v="2"/>
    <n v="0.44999999999999996"/>
  </r>
  <r>
    <n v="58"/>
    <x v="0"/>
    <x v="0"/>
    <n v="13"/>
    <s v="Monday"/>
    <s v="November"/>
    <m/>
    <d v="2023-11-13T00:00:00"/>
    <s v="CUST058"/>
    <x v="0"/>
    <n v="62"/>
    <x v="0"/>
    <x v="1"/>
    <n v="4"/>
    <n v="300"/>
    <x v="14"/>
    <n v="18"/>
  </r>
  <r>
    <n v="59"/>
    <x v="0"/>
    <x v="11"/>
    <n v="5"/>
    <s v="Wednesday"/>
    <s v="July"/>
    <m/>
    <d v="2023-07-05T00:00:00"/>
    <s v="CUST059"/>
    <x v="0"/>
    <n v="62"/>
    <x v="0"/>
    <x v="1"/>
    <n v="1"/>
    <n v="50"/>
    <x v="5"/>
    <n v="0.75"/>
  </r>
  <r>
    <n v="60"/>
    <x v="0"/>
    <x v="7"/>
    <n v="23"/>
    <s v="Monday"/>
    <s v="October"/>
    <m/>
    <d v="2023-10-23T00:00:00"/>
    <s v="CUST060"/>
    <x v="0"/>
    <n v="62"/>
    <x v="0"/>
    <x v="0"/>
    <n v="3"/>
    <n v="50"/>
    <x v="0"/>
    <n v="2.25"/>
  </r>
  <r>
    <n v="61"/>
    <x v="0"/>
    <x v="4"/>
    <n v="9"/>
    <s v="Sunday"/>
    <s v="April"/>
    <m/>
    <d v="2023-04-09T00:00:00"/>
    <s v="CUST061"/>
    <x v="0"/>
    <n v="62"/>
    <x v="0"/>
    <x v="0"/>
    <n v="4"/>
    <n v="50"/>
    <x v="7"/>
    <n v="3"/>
  </r>
  <r>
    <n v="62"/>
    <x v="0"/>
    <x v="6"/>
    <n v="27"/>
    <s v="Wednesday"/>
    <s v="December"/>
    <m/>
    <d v="2023-12-27T00:00:00"/>
    <s v="CUST062"/>
    <x v="0"/>
    <n v="62"/>
    <x v="0"/>
    <x v="0"/>
    <n v="2"/>
    <n v="50"/>
    <x v="4"/>
    <n v="1.5"/>
  </r>
  <r>
    <n v="63"/>
    <x v="0"/>
    <x v="1"/>
    <n v="5"/>
    <s v="Sunday"/>
    <s v="February"/>
    <m/>
    <d v="2023-02-05T00:00:00"/>
    <s v="CUST063"/>
    <x v="0"/>
    <n v="62"/>
    <x v="0"/>
    <x v="2"/>
    <n v="2"/>
    <n v="25"/>
    <x v="5"/>
    <n v="0.75"/>
  </r>
  <r>
    <n v="64"/>
    <x v="0"/>
    <x v="2"/>
    <n v="24"/>
    <s v="Tuesday"/>
    <s v="January"/>
    <m/>
    <d v="2023-01-24T00:00:00"/>
    <s v="CUST064"/>
    <x v="0"/>
    <n v="62"/>
    <x v="0"/>
    <x v="1"/>
    <n v="4"/>
    <n v="25"/>
    <x v="4"/>
    <n v="1.5"/>
  </r>
  <r>
    <n v="65"/>
    <x v="0"/>
    <x v="6"/>
    <n v="5"/>
    <s v="Tuesday"/>
    <s v="December"/>
    <m/>
    <d v="2023-12-05T00:00:00"/>
    <s v="CUST065"/>
    <x v="0"/>
    <n v="62"/>
    <x v="0"/>
    <x v="2"/>
    <n v="4"/>
    <n v="500"/>
    <x v="11"/>
    <n v="30"/>
  </r>
  <r>
    <n v="66"/>
    <x v="0"/>
    <x v="4"/>
    <n v="27"/>
    <s v="Thursday"/>
    <s v="April"/>
    <m/>
    <d v="2023-04-27T00:00:00"/>
    <s v="CUST066"/>
    <x v="1"/>
    <n v="62"/>
    <x v="0"/>
    <x v="2"/>
    <n v="1"/>
    <n v="30"/>
    <x v="2"/>
    <n v="0.44999999999999996"/>
  </r>
  <r>
    <n v="67"/>
    <x v="0"/>
    <x v="3"/>
    <n v="29"/>
    <s v="Monday"/>
    <s v="May"/>
    <m/>
    <d v="2023-05-29T00:00:00"/>
    <s v="CUST067"/>
    <x v="1"/>
    <n v="62"/>
    <x v="0"/>
    <x v="0"/>
    <n v="4"/>
    <n v="300"/>
    <x v="14"/>
    <n v="18"/>
  </r>
  <r>
    <n v="68"/>
    <x v="0"/>
    <x v="1"/>
    <n v="10"/>
    <s v="Friday"/>
    <s v="February"/>
    <m/>
    <d v="2023-02-10T00:00:00"/>
    <s v="CUST068"/>
    <x v="0"/>
    <n v="62"/>
    <x v="0"/>
    <x v="2"/>
    <n v="1"/>
    <n v="300"/>
    <x v="13"/>
    <n v="4.5"/>
  </r>
  <r>
    <n v="69"/>
    <x v="0"/>
    <x v="4"/>
    <n v="30"/>
    <s v="Sunday"/>
    <s v="April"/>
    <m/>
    <d v="2023-04-30T00:00:00"/>
    <s v="CUST069"/>
    <x v="1"/>
    <n v="62"/>
    <x v="0"/>
    <x v="0"/>
    <n v="3"/>
    <n v="25"/>
    <x v="8"/>
    <n v="1.125"/>
  </r>
  <r>
    <n v="70"/>
    <x v="0"/>
    <x v="1"/>
    <n v="21"/>
    <s v="Tuesday"/>
    <s v="February"/>
    <m/>
    <d v="2023-02-21T00:00:00"/>
    <s v="CUST070"/>
    <x v="1"/>
    <n v="62"/>
    <x v="0"/>
    <x v="1"/>
    <n v="1"/>
    <n v="300"/>
    <x v="13"/>
    <n v="4.5"/>
  </r>
  <r>
    <n v="71"/>
    <x v="0"/>
    <x v="11"/>
    <n v="14"/>
    <s v="Friday"/>
    <s v="July"/>
    <m/>
    <d v="2023-07-14T00:00:00"/>
    <s v="CUST071"/>
    <x v="1"/>
    <n v="62"/>
    <x v="0"/>
    <x v="0"/>
    <n v="4"/>
    <n v="25"/>
    <x v="4"/>
    <n v="1.5"/>
  </r>
  <r>
    <n v="72"/>
    <x v="0"/>
    <x v="3"/>
    <n v="23"/>
    <s v="Tuesday"/>
    <s v="May"/>
    <m/>
    <d v="2023-05-23T00:00:00"/>
    <s v="CUST072"/>
    <x v="1"/>
    <n v="62"/>
    <x v="0"/>
    <x v="2"/>
    <n v="4"/>
    <n v="500"/>
    <x v="11"/>
    <n v="30"/>
  </r>
  <r>
    <n v="73"/>
    <x v="0"/>
    <x v="8"/>
    <n v="21"/>
    <s v="Monday"/>
    <s v="August"/>
    <m/>
    <d v="2023-08-21T00:00:00"/>
    <s v="CUST073"/>
    <x v="0"/>
    <n v="62"/>
    <x v="0"/>
    <x v="2"/>
    <n v="3"/>
    <n v="30"/>
    <x v="15"/>
    <n v="1.3499999999999999"/>
  </r>
  <r>
    <n v="74"/>
    <x v="0"/>
    <x v="0"/>
    <n v="22"/>
    <s v="Wednesday"/>
    <s v="November"/>
    <m/>
    <d v="2023-11-22T00:00:00"/>
    <s v="CUST074"/>
    <x v="1"/>
    <n v="62"/>
    <x v="0"/>
    <x v="0"/>
    <n v="4"/>
    <n v="500"/>
    <x v="11"/>
    <n v="30"/>
  </r>
  <r>
    <n v="75"/>
    <x v="0"/>
    <x v="11"/>
    <n v="6"/>
    <s v="Thursday"/>
    <s v="July"/>
    <m/>
    <d v="2023-07-06T00:00:00"/>
    <s v="CUST075"/>
    <x v="0"/>
    <n v="62"/>
    <x v="0"/>
    <x v="0"/>
    <n v="4"/>
    <n v="50"/>
    <x v="7"/>
    <n v="3"/>
  </r>
  <r>
    <n v="76"/>
    <x v="0"/>
    <x v="5"/>
    <n v="25"/>
    <s v="Saturday"/>
    <s v="March"/>
    <m/>
    <d v="2023-03-25T00:00:00"/>
    <s v="CUST076"/>
    <x v="1"/>
    <n v="61"/>
    <x v="0"/>
    <x v="2"/>
    <n v="2"/>
    <n v="50"/>
    <x v="4"/>
    <n v="1.5"/>
  </r>
  <r>
    <n v="77"/>
    <x v="0"/>
    <x v="11"/>
    <n v="9"/>
    <s v="Sunday"/>
    <s v="July"/>
    <m/>
    <d v="2023-07-09T00:00:00"/>
    <s v="CUST077"/>
    <x v="1"/>
    <n v="61"/>
    <x v="0"/>
    <x v="1"/>
    <n v="2"/>
    <n v="50"/>
    <x v="4"/>
    <n v="1.5"/>
  </r>
  <r>
    <n v="78"/>
    <x v="0"/>
    <x v="11"/>
    <n v="1"/>
    <s v="Saturday"/>
    <s v="July"/>
    <m/>
    <d v="2023-07-01T00:00:00"/>
    <s v="CUST078"/>
    <x v="1"/>
    <n v="61"/>
    <x v="0"/>
    <x v="1"/>
    <n v="3"/>
    <n v="500"/>
    <x v="9"/>
    <n v="22.5"/>
  </r>
  <r>
    <n v="79"/>
    <x v="0"/>
    <x v="4"/>
    <n v="18"/>
    <s v="Tuesday"/>
    <s v="April"/>
    <m/>
    <d v="2023-04-18T00:00:00"/>
    <s v="CUST079"/>
    <x v="0"/>
    <n v="61"/>
    <x v="0"/>
    <x v="0"/>
    <n v="1"/>
    <n v="300"/>
    <x v="13"/>
    <n v="4.5"/>
  </r>
  <r>
    <n v="80"/>
    <x v="0"/>
    <x v="6"/>
    <n v="10"/>
    <s v="Sunday"/>
    <s v="December"/>
    <m/>
    <d v="2023-12-10T00:00:00"/>
    <s v="CUST080"/>
    <x v="1"/>
    <n v="61"/>
    <x v="0"/>
    <x v="1"/>
    <n v="2"/>
    <n v="30"/>
    <x v="17"/>
    <n v="0.89999999999999991"/>
  </r>
  <r>
    <n v="81"/>
    <x v="0"/>
    <x v="3"/>
    <n v="17"/>
    <s v="Wednesday"/>
    <s v="May"/>
    <m/>
    <d v="2023-05-17T00:00:00"/>
    <s v="CUST081"/>
    <x v="0"/>
    <n v="61"/>
    <x v="0"/>
    <x v="2"/>
    <n v="1"/>
    <n v="50"/>
    <x v="5"/>
    <n v="0.75"/>
  </r>
  <r>
    <n v="82"/>
    <x v="0"/>
    <x v="6"/>
    <n v="26"/>
    <s v="Tuesday"/>
    <s v="December"/>
    <m/>
    <d v="2023-12-26T00:00:00"/>
    <s v="CUST082"/>
    <x v="1"/>
    <n v="61"/>
    <x v="0"/>
    <x v="0"/>
    <n v="4"/>
    <n v="50"/>
    <x v="7"/>
    <n v="3"/>
  </r>
  <r>
    <n v="83"/>
    <x v="0"/>
    <x v="6"/>
    <n v="16"/>
    <s v="Saturday"/>
    <s v="December"/>
    <m/>
    <d v="2023-12-16T00:00:00"/>
    <s v="CUST083"/>
    <x v="0"/>
    <n v="61"/>
    <x v="0"/>
    <x v="2"/>
    <n v="2"/>
    <n v="50"/>
    <x v="4"/>
    <n v="1.5"/>
  </r>
  <r>
    <n v="84"/>
    <x v="0"/>
    <x v="0"/>
    <n v="28"/>
    <s v="Tuesday"/>
    <s v="November"/>
    <m/>
    <d v="2023-11-28T00:00:00"/>
    <s v="CUST084"/>
    <x v="1"/>
    <n v="61"/>
    <x v="0"/>
    <x v="2"/>
    <n v="3"/>
    <n v="30"/>
    <x v="15"/>
    <n v="1.3499999999999999"/>
  </r>
  <r>
    <n v="85"/>
    <x v="0"/>
    <x v="1"/>
    <n v="6"/>
    <s v="Monday"/>
    <s v="February"/>
    <m/>
    <d v="2023-02-06T00:00:00"/>
    <s v="CUST085"/>
    <x v="0"/>
    <n v="61"/>
    <x v="0"/>
    <x v="1"/>
    <n v="3"/>
    <n v="50"/>
    <x v="0"/>
    <n v="2.25"/>
  </r>
  <r>
    <n v="86"/>
    <x v="0"/>
    <x v="0"/>
    <n v="8"/>
    <s v="Wednesday"/>
    <s v="November"/>
    <m/>
    <d v="2023-11-08T00:00:00"/>
    <s v="CUST086"/>
    <x v="0"/>
    <n v="61"/>
    <x v="0"/>
    <x v="0"/>
    <n v="3"/>
    <n v="30"/>
    <x v="15"/>
    <n v="1.3499999999999999"/>
  </r>
  <r>
    <n v="87"/>
    <x v="0"/>
    <x v="0"/>
    <n v="22"/>
    <s v="Wednesday"/>
    <s v="November"/>
    <m/>
    <d v="2023-11-22T00:00:00"/>
    <s v="CUST087"/>
    <x v="1"/>
    <n v="61"/>
    <x v="0"/>
    <x v="0"/>
    <n v="2"/>
    <n v="50"/>
    <x v="4"/>
    <n v="1.5"/>
  </r>
  <r>
    <n v="88"/>
    <x v="0"/>
    <x v="5"/>
    <n v="29"/>
    <s v="Wednesday"/>
    <s v="March"/>
    <m/>
    <d v="2023-03-29T00:00:00"/>
    <s v="CUST088"/>
    <x v="0"/>
    <n v="61"/>
    <x v="0"/>
    <x v="1"/>
    <n v="1"/>
    <n v="500"/>
    <x v="3"/>
    <n v="7.5"/>
  </r>
  <r>
    <n v="89"/>
    <x v="0"/>
    <x v="7"/>
    <n v="1"/>
    <s v="Sunday"/>
    <s v="October"/>
    <m/>
    <d v="2023-10-01T00:00:00"/>
    <s v="CUST089"/>
    <x v="1"/>
    <n v="61"/>
    <x v="0"/>
    <x v="2"/>
    <n v="4"/>
    <n v="500"/>
    <x v="11"/>
    <n v="30"/>
  </r>
  <r>
    <n v="90"/>
    <x v="0"/>
    <x v="3"/>
    <n v="6"/>
    <s v="Saturday"/>
    <s v="May"/>
    <m/>
    <d v="2023-05-06T00:00:00"/>
    <s v="CUST090"/>
    <x v="1"/>
    <n v="61"/>
    <x v="0"/>
    <x v="2"/>
    <n v="1"/>
    <n v="30"/>
    <x v="2"/>
    <n v="0.44999999999999996"/>
  </r>
  <r>
    <n v="91"/>
    <x v="0"/>
    <x v="5"/>
    <n v="25"/>
    <s v="Saturday"/>
    <s v="March"/>
    <m/>
    <d v="2023-03-25T00:00:00"/>
    <s v="CUST091"/>
    <x v="1"/>
    <n v="61"/>
    <x v="0"/>
    <x v="2"/>
    <n v="1"/>
    <n v="500"/>
    <x v="3"/>
    <n v="7.5"/>
  </r>
  <r>
    <n v="92"/>
    <x v="0"/>
    <x v="8"/>
    <n v="25"/>
    <s v="Friday"/>
    <s v="August"/>
    <m/>
    <d v="2023-08-25T00:00:00"/>
    <s v="CUST092"/>
    <x v="1"/>
    <n v="61"/>
    <x v="0"/>
    <x v="2"/>
    <n v="4"/>
    <n v="30"/>
    <x v="10"/>
    <n v="1.7999999999999998"/>
  </r>
  <r>
    <n v="93"/>
    <x v="0"/>
    <x v="11"/>
    <n v="14"/>
    <s v="Friday"/>
    <s v="July"/>
    <m/>
    <d v="2023-07-14T00:00:00"/>
    <s v="CUST093"/>
    <x v="1"/>
    <n v="61"/>
    <x v="0"/>
    <x v="0"/>
    <n v="4"/>
    <n v="500"/>
    <x v="11"/>
    <n v="30"/>
  </r>
  <r>
    <n v="94"/>
    <x v="0"/>
    <x v="3"/>
    <n v="19"/>
    <s v="Friday"/>
    <s v="May"/>
    <m/>
    <d v="2023-05-19T00:00:00"/>
    <s v="CUST094"/>
    <x v="1"/>
    <n v="60"/>
    <x v="0"/>
    <x v="0"/>
    <n v="2"/>
    <n v="500"/>
    <x v="1"/>
    <n v="15"/>
  </r>
  <r>
    <n v="95"/>
    <x v="0"/>
    <x v="0"/>
    <n v="24"/>
    <s v="Friday"/>
    <s v="November"/>
    <m/>
    <d v="2023-11-24T00:00:00"/>
    <s v="CUST095"/>
    <x v="1"/>
    <n v="60"/>
    <x v="0"/>
    <x v="1"/>
    <n v="2"/>
    <n v="30"/>
    <x v="17"/>
    <n v="0.89999999999999991"/>
  </r>
  <r>
    <n v="96"/>
    <x v="0"/>
    <x v="6"/>
    <n v="19"/>
    <s v="Tuesday"/>
    <s v="December"/>
    <m/>
    <d v="2023-12-19T00:00:00"/>
    <s v="CUST096"/>
    <x v="1"/>
    <n v="60"/>
    <x v="0"/>
    <x v="1"/>
    <n v="2"/>
    <n v="300"/>
    <x v="6"/>
    <n v="9"/>
  </r>
  <r>
    <n v="97"/>
    <x v="0"/>
    <x v="7"/>
    <n v="13"/>
    <s v="Friday"/>
    <s v="October"/>
    <m/>
    <d v="2023-10-13T00:00:00"/>
    <s v="CUST097"/>
    <x v="1"/>
    <n v="60"/>
    <x v="0"/>
    <x v="0"/>
    <n v="2"/>
    <n v="500"/>
    <x v="1"/>
    <n v="15"/>
  </r>
  <r>
    <n v="98"/>
    <x v="0"/>
    <x v="4"/>
    <n v="23"/>
    <s v="Sunday"/>
    <s v="April"/>
    <m/>
    <d v="2023-04-23T00:00:00"/>
    <s v="CUST098"/>
    <x v="1"/>
    <n v="60"/>
    <x v="0"/>
    <x v="0"/>
    <n v="2"/>
    <n v="50"/>
    <x v="4"/>
    <n v="1.5"/>
  </r>
  <r>
    <n v="99"/>
    <x v="0"/>
    <x v="6"/>
    <n v="17"/>
    <s v="Sunday"/>
    <s v="December"/>
    <m/>
    <d v="2023-12-17T00:00:00"/>
    <s v="CUST099"/>
    <x v="1"/>
    <n v="60"/>
    <x v="0"/>
    <x v="2"/>
    <n v="4"/>
    <n v="300"/>
    <x v="14"/>
    <n v="18"/>
  </r>
  <r>
    <n v="100"/>
    <x v="0"/>
    <x v="10"/>
    <n v="16"/>
    <s v="Friday"/>
    <s v="June"/>
    <m/>
    <d v="2023-06-16T00:00:00"/>
    <s v="CUST100"/>
    <x v="0"/>
    <n v="60"/>
    <x v="0"/>
    <x v="2"/>
    <n v="1"/>
    <n v="30"/>
    <x v="2"/>
    <n v="0.44999999999999996"/>
  </r>
  <r>
    <n v="101"/>
    <x v="0"/>
    <x v="2"/>
    <n v="29"/>
    <s v="Sunday"/>
    <s v="January"/>
    <m/>
    <d v="2023-01-29T00:00:00"/>
    <s v="CUST101"/>
    <x v="0"/>
    <n v="60"/>
    <x v="0"/>
    <x v="1"/>
    <n v="2"/>
    <n v="300"/>
    <x v="6"/>
    <n v="9"/>
  </r>
  <r>
    <n v="102"/>
    <x v="0"/>
    <x v="4"/>
    <n v="28"/>
    <s v="Friday"/>
    <s v="April"/>
    <m/>
    <d v="2023-04-28T00:00:00"/>
    <s v="CUST102"/>
    <x v="1"/>
    <n v="60"/>
    <x v="0"/>
    <x v="0"/>
    <n v="2"/>
    <n v="25"/>
    <x v="5"/>
    <n v="0.75"/>
  </r>
  <r>
    <n v="103"/>
    <x v="0"/>
    <x v="2"/>
    <n v="17"/>
    <s v="Tuesday"/>
    <s v="January"/>
    <m/>
    <d v="2023-01-17T00:00:00"/>
    <s v="CUST103"/>
    <x v="1"/>
    <n v="60"/>
    <x v="0"/>
    <x v="1"/>
    <n v="1"/>
    <n v="25"/>
    <x v="16"/>
    <n v="0.375"/>
  </r>
  <r>
    <n v="104"/>
    <x v="0"/>
    <x v="10"/>
    <n v="11"/>
    <s v="Sunday"/>
    <s v="June"/>
    <m/>
    <d v="2023-06-11T00:00:00"/>
    <s v="CUST104"/>
    <x v="1"/>
    <n v="60"/>
    <x v="0"/>
    <x v="0"/>
    <n v="2"/>
    <n v="500"/>
    <x v="1"/>
    <n v="15"/>
  </r>
  <r>
    <n v="105"/>
    <x v="0"/>
    <x v="11"/>
    <n v="25"/>
    <s v="Tuesday"/>
    <s v="July"/>
    <m/>
    <d v="2023-07-25T00:00:00"/>
    <s v="CUST105"/>
    <x v="1"/>
    <n v="60"/>
    <x v="0"/>
    <x v="2"/>
    <n v="1"/>
    <n v="500"/>
    <x v="3"/>
    <n v="7.5"/>
  </r>
  <r>
    <n v="106"/>
    <x v="0"/>
    <x v="3"/>
    <n v="18"/>
    <s v="Thursday"/>
    <s v="May"/>
    <m/>
    <d v="2023-05-18T00:00:00"/>
    <s v="CUST106"/>
    <x v="1"/>
    <n v="60"/>
    <x v="0"/>
    <x v="1"/>
    <n v="1"/>
    <n v="50"/>
    <x v="5"/>
    <n v="0.75"/>
  </r>
  <r>
    <n v="107"/>
    <x v="0"/>
    <x v="1"/>
    <n v="3"/>
    <s v="Friday"/>
    <s v="February"/>
    <m/>
    <d v="2023-02-03T00:00:00"/>
    <s v="CUST107"/>
    <x v="1"/>
    <n v="60"/>
    <x v="0"/>
    <x v="1"/>
    <n v="4"/>
    <n v="300"/>
    <x v="14"/>
    <n v="18"/>
  </r>
  <r>
    <n v="108"/>
    <x v="0"/>
    <x v="4"/>
    <n v="19"/>
    <s v="Wednesday"/>
    <s v="April"/>
    <m/>
    <d v="2023-04-19T00:00:00"/>
    <s v="CUST108"/>
    <x v="1"/>
    <n v="60"/>
    <x v="0"/>
    <x v="0"/>
    <n v="3"/>
    <n v="25"/>
    <x v="8"/>
    <n v="1.125"/>
  </r>
  <r>
    <n v="109"/>
    <x v="0"/>
    <x v="7"/>
    <n v="18"/>
    <s v="Wednesday"/>
    <s v="October"/>
    <m/>
    <d v="2023-10-18T00:00:00"/>
    <s v="CUST109"/>
    <x v="1"/>
    <n v="60"/>
    <x v="0"/>
    <x v="2"/>
    <n v="4"/>
    <n v="500"/>
    <x v="11"/>
    <n v="30"/>
  </r>
  <r>
    <n v="110"/>
    <x v="0"/>
    <x v="10"/>
    <n v="11"/>
    <s v="Sunday"/>
    <s v="June"/>
    <m/>
    <d v="2023-06-11T00:00:00"/>
    <s v="CUST110"/>
    <x v="0"/>
    <n v="60"/>
    <x v="0"/>
    <x v="1"/>
    <n v="3"/>
    <n v="300"/>
    <x v="12"/>
    <n v="13.5"/>
  </r>
  <r>
    <n v="111"/>
    <x v="0"/>
    <x v="4"/>
    <n v="19"/>
    <s v="Wednesday"/>
    <s v="April"/>
    <m/>
    <d v="2023-04-19T00:00:00"/>
    <s v="CUST111"/>
    <x v="1"/>
    <n v="60"/>
    <x v="0"/>
    <x v="2"/>
    <n v="3"/>
    <n v="500"/>
    <x v="9"/>
    <n v="22.5"/>
  </r>
  <r>
    <n v="112"/>
    <x v="0"/>
    <x v="6"/>
    <n v="2"/>
    <s v="Saturday"/>
    <s v="December"/>
    <m/>
    <d v="2023-12-02T00:00:00"/>
    <s v="CUST112"/>
    <x v="0"/>
    <n v="60"/>
    <x v="0"/>
    <x v="1"/>
    <n v="3"/>
    <n v="500"/>
    <x v="9"/>
    <n v="22.5"/>
  </r>
  <r>
    <n v="113"/>
    <x v="0"/>
    <x v="9"/>
    <n v="13"/>
    <s v="Wednesday"/>
    <s v="September"/>
    <m/>
    <d v="2023-09-13T00:00:00"/>
    <s v="CUST113"/>
    <x v="1"/>
    <n v="60"/>
    <x v="0"/>
    <x v="2"/>
    <n v="2"/>
    <n v="25"/>
    <x v="5"/>
    <n v="0.75"/>
  </r>
  <r>
    <n v="114"/>
    <x v="0"/>
    <x v="11"/>
    <n v="22"/>
    <s v="Saturday"/>
    <s v="July"/>
    <m/>
    <d v="2023-07-22T00:00:00"/>
    <s v="CUST114"/>
    <x v="1"/>
    <n v="60"/>
    <x v="0"/>
    <x v="0"/>
    <n v="4"/>
    <n v="25"/>
    <x v="4"/>
    <n v="1.5"/>
  </r>
  <r>
    <n v="115"/>
    <x v="0"/>
    <x v="0"/>
    <n v="26"/>
    <s v="Sunday"/>
    <s v="November"/>
    <m/>
    <d v="2023-11-26T00:00:00"/>
    <s v="CUST115"/>
    <x v="0"/>
    <n v="60"/>
    <x v="0"/>
    <x v="1"/>
    <n v="3"/>
    <n v="500"/>
    <x v="9"/>
    <n v="22.5"/>
  </r>
  <r>
    <n v="116"/>
    <x v="0"/>
    <x v="8"/>
    <n v="23"/>
    <s v="Wednesday"/>
    <s v="August"/>
    <m/>
    <d v="2023-08-23T00:00:00"/>
    <s v="CUST116"/>
    <x v="1"/>
    <n v="59"/>
    <x v="0"/>
    <x v="1"/>
    <n v="1"/>
    <n v="30"/>
    <x v="2"/>
    <n v="0.44999999999999996"/>
  </r>
  <r>
    <n v="117"/>
    <x v="0"/>
    <x v="5"/>
    <n v="15"/>
    <s v="Wednesday"/>
    <s v="March"/>
    <m/>
    <d v="2023-03-15T00:00:00"/>
    <s v="CUST117"/>
    <x v="0"/>
    <n v="59"/>
    <x v="0"/>
    <x v="2"/>
    <n v="2"/>
    <n v="500"/>
    <x v="1"/>
    <n v="15"/>
  </r>
  <r>
    <n v="118"/>
    <x v="0"/>
    <x v="3"/>
    <n v="16"/>
    <s v="Tuesday"/>
    <s v="May"/>
    <m/>
    <d v="2023-05-16T00:00:00"/>
    <s v="CUST118"/>
    <x v="1"/>
    <n v="59"/>
    <x v="0"/>
    <x v="2"/>
    <n v="4"/>
    <n v="500"/>
    <x v="11"/>
    <n v="30"/>
  </r>
  <r>
    <n v="119"/>
    <x v="0"/>
    <x v="5"/>
    <n v="13"/>
    <s v="Monday"/>
    <s v="March"/>
    <m/>
    <d v="2023-03-13T00:00:00"/>
    <s v="CUST119"/>
    <x v="1"/>
    <n v="59"/>
    <x v="0"/>
    <x v="1"/>
    <n v="3"/>
    <n v="50"/>
    <x v="0"/>
    <n v="2.25"/>
  </r>
  <r>
    <n v="120"/>
    <x v="0"/>
    <x v="3"/>
    <n v="7"/>
    <s v="Sunday"/>
    <s v="May"/>
    <m/>
    <d v="2023-05-07T00:00:00"/>
    <s v="CUST120"/>
    <x v="0"/>
    <n v="59"/>
    <x v="0"/>
    <x v="0"/>
    <n v="1"/>
    <n v="50"/>
    <x v="5"/>
    <n v="0.75"/>
  </r>
  <r>
    <n v="121"/>
    <x v="0"/>
    <x v="7"/>
    <n v="15"/>
    <s v="Sunday"/>
    <s v="October"/>
    <m/>
    <d v="2023-10-15T00:00:00"/>
    <s v="CUST121"/>
    <x v="1"/>
    <n v="59"/>
    <x v="0"/>
    <x v="2"/>
    <n v="4"/>
    <n v="50"/>
    <x v="7"/>
    <n v="3"/>
  </r>
  <r>
    <n v="122"/>
    <x v="0"/>
    <x v="7"/>
    <n v="3"/>
    <s v="Tuesday"/>
    <s v="October"/>
    <m/>
    <d v="2023-10-03T00:00:00"/>
    <s v="CUST122"/>
    <x v="0"/>
    <n v="59"/>
    <x v="0"/>
    <x v="2"/>
    <n v="4"/>
    <n v="30"/>
    <x v="10"/>
    <n v="1.7999999999999998"/>
  </r>
  <r>
    <n v="123"/>
    <x v="0"/>
    <x v="3"/>
    <n v="15"/>
    <s v="Monday"/>
    <s v="May"/>
    <m/>
    <d v="2023-05-15T00:00:00"/>
    <s v="CUST123"/>
    <x v="1"/>
    <n v="59"/>
    <x v="0"/>
    <x v="2"/>
    <n v="2"/>
    <n v="30"/>
    <x v="17"/>
    <n v="0.89999999999999991"/>
  </r>
  <r>
    <n v="124"/>
    <x v="0"/>
    <x v="7"/>
    <n v="27"/>
    <s v="Friday"/>
    <s v="October"/>
    <m/>
    <d v="2023-10-27T00:00:00"/>
    <s v="CUST124"/>
    <x v="0"/>
    <n v="59"/>
    <x v="0"/>
    <x v="1"/>
    <n v="4"/>
    <n v="500"/>
    <x v="11"/>
    <n v="30"/>
  </r>
  <r>
    <n v="125"/>
    <x v="0"/>
    <x v="8"/>
    <n v="8"/>
    <s v="Tuesday"/>
    <s v="August"/>
    <m/>
    <d v="2023-08-08T00:00:00"/>
    <s v="CUST125"/>
    <x v="0"/>
    <n v="59"/>
    <x v="0"/>
    <x v="1"/>
    <n v="2"/>
    <n v="50"/>
    <x v="4"/>
    <n v="1.5"/>
  </r>
  <r>
    <n v="126"/>
    <x v="0"/>
    <x v="7"/>
    <n v="26"/>
    <s v="Thursday"/>
    <s v="October"/>
    <m/>
    <d v="2023-10-26T00:00:00"/>
    <s v="CUST126"/>
    <x v="1"/>
    <n v="59"/>
    <x v="0"/>
    <x v="1"/>
    <n v="3"/>
    <n v="30"/>
    <x v="15"/>
    <n v="1.3499999999999999"/>
  </r>
  <r>
    <n v="127"/>
    <x v="0"/>
    <x v="11"/>
    <n v="24"/>
    <s v="Monday"/>
    <s v="July"/>
    <m/>
    <d v="2023-07-24T00:00:00"/>
    <s v="CUST127"/>
    <x v="1"/>
    <n v="59"/>
    <x v="0"/>
    <x v="1"/>
    <n v="2"/>
    <n v="25"/>
    <x v="5"/>
    <n v="0.75"/>
  </r>
  <r>
    <n v="128"/>
    <x v="0"/>
    <x v="11"/>
    <n v="5"/>
    <s v="Wednesday"/>
    <s v="July"/>
    <m/>
    <d v="2023-07-05T00:00:00"/>
    <s v="CUST128"/>
    <x v="0"/>
    <n v="59"/>
    <x v="0"/>
    <x v="0"/>
    <n v="1"/>
    <n v="500"/>
    <x v="3"/>
    <n v="7.5"/>
  </r>
  <r>
    <n v="129"/>
    <x v="0"/>
    <x v="4"/>
    <n v="23"/>
    <s v="Sunday"/>
    <s v="April"/>
    <m/>
    <d v="2023-04-23T00:00:00"/>
    <s v="CUST129"/>
    <x v="1"/>
    <n v="59"/>
    <x v="0"/>
    <x v="0"/>
    <n v="2"/>
    <n v="300"/>
    <x v="6"/>
    <n v="9"/>
  </r>
  <r>
    <n v="130"/>
    <x v="0"/>
    <x v="5"/>
    <n v="12"/>
    <s v="Sunday"/>
    <s v="March"/>
    <m/>
    <d v="2023-03-12T00:00:00"/>
    <s v="CUST130"/>
    <x v="1"/>
    <n v="59"/>
    <x v="0"/>
    <x v="1"/>
    <n v="1"/>
    <n v="500"/>
    <x v="3"/>
    <n v="7.5"/>
  </r>
  <r>
    <n v="131"/>
    <x v="0"/>
    <x v="9"/>
    <n v="18"/>
    <s v="Monday"/>
    <s v="September"/>
    <m/>
    <d v="2023-09-18T00:00:00"/>
    <s v="CUST131"/>
    <x v="1"/>
    <n v="59"/>
    <x v="0"/>
    <x v="0"/>
    <n v="2"/>
    <n v="300"/>
    <x v="6"/>
    <n v="9"/>
  </r>
  <r>
    <n v="132"/>
    <x v="0"/>
    <x v="9"/>
    <n v="10"/>
    <s v="Sunday"/>
    <s v="September"/>
    <m/>
    <d v="2023-09-10T00:00:00"/>
    <s v="CUST132"/>
    <x v="0"/>
    <n v="59"/>
    <x v="0"/>
    <x v="2"/>
    <n v="4"/>
    <n v="50"/>
    <x v="7"/>
    <n v="3"/>
  </r>
  <r>
    <n v="133"/>
    <x v="0"/>
    <x v="1"/>
    <n v="16"/>
    <s v="Thursday"/>
    <s v="February"/>
    <m/>
    <d v="2023-02-16T00:00:00"/>
    <s v="CUST133"/>
    <x v="0"/>
    <n v="58"/>
    <x v="0"/>
    <x v="2"/>
    <n v="3"/>
    <n v="300"/>
    <x v="12"/>
    <n v="13.5"/>
  </r>
  <r>
    <n v="134"/>
    <x v="0"/>
    <x v="2"/>
    <n v="25"/>
    <s v="Wednesday"/>
    <s v="January"/>
    <m/>
    <d v="2023-01-25T00:00:00"/>
    <s v="CUST134"/>
    <x v="0"/>
    <n v="58"/>
    <x v="0"/>
    <x v="2"/>
    <n v="1"/>
    <n v="50"/>
    <x v="5"/>
    <n v="0.75"/>
  </r>
  <r>
    <n v="135"/>
    <x v="0"/>
    <x v="1"/>
    <n v="26"/>
    <s v="Sunday"/>
    <s v="February"/>
    <m/>
    <d v="2023-02-26T00:00:00"/>
    <s v="CUST135"/>
    <x v="0"/>
    <n v="58"/>
    <x v="0"/>
    <x v="1"/>
    <n v="2"/>
    <n v="25"/>
    <x v="5"/>
    <n v="0.75"/>
  </r>
  <r>
    <n v="136"/>
    <x v="0"/>
    <x v="5"/>
    <n v="20"/>
    <s v="Monday"/>
    <s v="March"/>
    <m/>
    <d v="2023-03-20T00:00:00"/>
    <s v="CUST136"/>
    <x v="0"/>
    <n v="58"/>
    <x v="0"/>
    <x v="2"/>
    <n v="2"/>
    <n v="300"/>
    <x v="6"/>
    <n v="9"/>
  </r>
  <r>
    <n v="137"/>
    <x v="0"/>
    <x v="0"/>
    <n v="18"/>
    <s v="Saturday"/>
    <s v="November"/>
    <m/>
    <d v="2023-11-18T00:00:00"/>
    <s v="CUST137"/>
    <x v="0"/>
    <n v="58"/>
    <x v="0"/>
    <x v="0"/>
    <n v="2"/>
    <n v="500"/>
    <x v="1"/>
    <n v="15"/>
  </r>
  <r>
    <n v="138"/>
    <x v="0"/>
    <x v="5"/>
    <n v="23"/>
    <s v="Thursday"/>
    <s v="March"/>
    <m/>
    <d v="2023-03-23T00:00:00"/>
    <s v="CUST138"/>
    <x v="0"/>
    <n v="58"/>
    <x v="0"/>
    <x v="1"/>
    <n v="4"/>
    <n v="50"/>
    <x v="7"/>
    <n v="3"/>
  </r>
  <r>
    <n v="139"/>
    <x v="0"/>
    <x v="6"/>
    <n v="15"/>
    <s v="Friday"/>
    <s v="December"/>
    <m/>
    <d v="2023-12-15T00:00:00"/>
    <s v="CUST139"/>
    <x v="0"/>
    <n v="58"/>
    <x v="0"/>
    <x v="0"/>
    <n v="4"/>
    <n v="500"/>
    <x v="11"/>
    <n v="30"/>
  </r>
  <r>
    <n v="140"/>
    <x v="0"/>
    <x v="8"/>
    <n v="5"/>
    <s v="Saturday"/>
    <s v="August"/>
    <m/>
    <d v="2023-08-05T00:00:00"/>
    <s v="CUST140"/>
    <x v="0"/>
    <n v="58"/>
    <x v="0"/>
    <x v="2"/>
    <n v="1"/>
    <n v="30"/>
    <x v="2"/>
    <n v="0.44999999999999996"/>
  </r>
  <r>
    <n v="141"/>
    <x v="0"/>
    <x v="0"/>
    <n v="2"/>
    <s v="Thursday"/>
    <s v="November"/>
    <m/>
    <d v="2023-11-02T00:00:00"/>
    <s v="CUST141"/>
    <x v="1"/>
    <n v="58"/>
    <x v="0"/>
    <x v="2"/>
    <n v="1"/>
    <n v="50"/>
    <x v="5"/>
    <n v="0.75"/>
  </r>
  <r>
    <n v="142"/>
    <x v="0"/>
    <x v="1"/>
    <n v="2"/>
    <s v="Thursday"/>
    <s v="February"/>
    <m/>
    <d v="2023-02-02T00:00:00"/>
    <s v="CUST142"/>
    <x v="0"/>
    <n v="58"/>
    <x v="0"/>
    <x v="2"/>
    <n v="4"/>
    <n v="300"/>
    <x v="14"/>
    <n v="18"/>
  </r>
  <r>
    <n v="143"/>
    <x v="0"/>
    <x v="11"/>
    <n v="17"/>
    <s v="Monday"/>
    <s v="July"/>
    <m/>
    <d v="2023-07-17T00:00:00"/>
    <s v="CUST143"/>
    <x v="1"/>
    <n v="58"/>
    <x v="0"/>
    <x v="1"/>
    <n v="1"/>
    <n v="50"/>
    <x v="5"/>
    <n v="0.75"/>
  </r>
  <r>
    <n v="144"/>
    <x v="0"/>
    <x v="11"/>
    <n v="15"/>
    <s v="Saturday"/>
    <s v="July"/>
    <m/>
    <d v="2023-07-15T00:00:00"/>
    <s v="CUST144"/>
    <x v="1"/>
    <n v="58"/>
    <x v="0"/>
    <x v="0"/>
    <n v="3"/>
    <n v="500"/>
    <x v="9"/>
    <n v="22.5"/>
  </r>
  <r>
    <n v="145"/>
    <x v="0"/>
    <x v="0"/>
    <n v="2"/>
    <s v="Thursday"/>
    <s v="November"/>
    <m/>
    <d v="2023-11-02T00:00:00"/>
    <s v="CUST145"/>
    <x v="1"/>
    <n v="58"/>
    <x v="0"/>
    <x v="1"/>
    <n v="3"/>
    <n v="25"/>
    <x v="8"/>
    <n v="1.125"/>
  </r>
  <r>
    <n v="146"/>
    <x v="0"/>
    <x v="8"/>
    <n v="28"/>
    <s v="Monday"/>
    <s v="August"/>
    <m/>
    <d v="2023-08-28T00:00:00"/>
    <s v="CUST146"/>
    <x v="0"/>
    <n v="58"/>
    <x v="0"/>
    <x v="1"/>
    <n v="4"/>
    <n v="50"/>
    <x v="7"/>
    <n v="3"/>
  </r>
  <r>
    <n v="147"/>
    <x v="0"/>
    <x v="9"/>
    <n v="28"/>
    <s v="Thursday"/>
    <s v="September"/>
    <m/>
    <d v="2023-09-28T00:00:00"/>
    <s v="CUST147"/>
    <x v="0"/>
    <n v="57"/>
    <x v="0"/>
    <x v="2"/>
    <n v="1"/>
    <n v="300"/>
    <x v="13"/>
    <n v="4.5"/>
  </r>
  <r>
    <n v="148"/>
    <x v="0"/>
    <x v="3"/>
    <n v="9"/>
    <s v="Tuesday"/>
    <s v="May"/>
    <m/>
    <d v="2023-05-09T00:00:00"/>
    <s v="CUST148"/>
    <x v="0"/>
    <n v="57"/>
    <x v="0"/>
    <x v="1"/>
    <n v="2"/>
    <n v="30"/>
    <x v="17"/>
    <n v="0.89999999999999991"/>
  </r>
  <r>
    <n v="149"/>
    <x v="0"/>
    <x v="7"/>
    <n v="11"/>
    <s v="Wednesday"/>
    <s v="October"/>
    <m/>
    <d v="2023-10-11T00:00:00"/>
    <s v="CUST149"/>
    <x v="0"/>
    <n v="57"/>
    <x v="0"/>
    <x v="1"/>
    <n v="3"/>
    <n v="25"/>
    <x v="8"/>
    <n v="1.125"/>
  </r>
  <r>
    <n v="150"/>
    <x v="0"/>
    <x v="2"/>
    <n v="6"/>
    <s v="Friday"/>
    <s v="January"/>
    <m/>
    <d v="2023-01-06T00:00:00"/>
    <s v="CUST150"/>
    <x v="1"/>
    <n v="57"/>
    <x v="0"/>
    <x v="2"/>
    <n v="4"/>
    <n v="30"/>
    <x v="10"/>
    <n v="1.7999999999999998"/>
  </r>
  <r>
    <n v="151"/>
    <x v="0"/>
    <x v="6"/>
    <n v="15"/>
    <s v="Friday"/>
    <s v="December"/>
    <m/>
    <d v="2023-12-15T00:00:00"/>
    <s v="CUST151"/>
    <x v="0"/>
    <n v="57"/>
    <x v="0"/>
    <x v="1"/>
    <n v="1"/>
    <n v="50"/>
    <x v="5"/>
    <n v="0.75"/>
  </r>
  <r>
    <n v="152"/>
    <x v="0"/>
    <x v="1"/>
    <n v="28"/>
    <s v="Tuesday"/>
    <s v="February"/>
    <m/>
    <d v="2023-02-28T00:00:00"/>
    <s v="CUST152"/>
    <x v="0"/>
    <n v="57"/>
    <x v="0"/>
    <x v="2"/>
    <n v="4"/>
    <n v="500"/>
    <x v="11"/>
    <n v="30"/>
  </r>
  <r>
    <n v="153"/>
    <x v="0"/>
    <x v="6"/>
    <n v="16"/>
    <s v="Saturday"/>
    <s v="December"/>
    <m/>
    <d v="2023-12-16T00:00:00"/>
    <s v="CUST153"/>
    <x v="0"/>
    <n v="57"/>
    <x v="0"/>
    <x v="2"/>
    <n v="2"/>
    <n v="500"/>
    <x v="1"/>
    <n v="15"/>
  </r>
  <r>
    <n v="154"/>
    <x v="0"/>
    <x v="7"/>
    <n v="2"/>
    <s v="Monday"/>
    <s v="October"/>
    <m/>
    <d v="2023-10-02T00:00:00"/>
    <s v="CUST154"/>
    <x v="0"/>
    <n v="57"/>
    <x v="0"/>
    <x v="2"/>
    <n v="3"/>
    <n v="300"/>
    <x v="12"/>
    <n v="13.5"/>
  </r>
  <r>
    <n v="155"/>
    <x v="0"/>
    <x v="3"/>
    <n v="17"/>
    <s v="Wednesday"/>
    <s v="May"/>
    <m/>
    <d v="2023-05-17T00:00:00"/>
    <s v="CUST155"/>
    <x v="0"/>
    <n v="57"/>
    <x v="0"/>
    <x v="2"/>
    <n v="4"/>
    <n v="500"/>
    <x v="11"/>
    <n v="30"/>
  </r>
  <r>
    <n v="156"/>
    <x v="0"/>
    <x v="0"/>
    <n v="25"/>
    <s v="Saturday"/>
    <s v="November"/>
    <m/>
    <d v="2023-11-25T00:00:00"/>
    <s v="CUST156"/>
    <x v="1"/>
    <n v="57"/>
    <x v="0"/>
    <x v="1"/>
    <n v="4"/>
    <n v="25"/>
    <x v="4"/>
    <n v="1.5"/>
  </r>
  <r>
    <n v="157"/>
    <x v="0"/>
    <x v="10"/>
    <n v="24"/>
    <s v="Saturday"/>
    <s v="June"/>
    <m/>
    <d v="2023-06-24T00:00:00"/>
    <s v="CUST157"/>
    <x v="0"/>
    <n v="57"/>
    <x v="0"/>
    <x v="2"/>
    <n v="4"/>
    <n v="500"/>
    <x v="11"/>
    <n v="30"/>
  </r>
  <r>
    <n v="158"/>
    <x v="0"/>
    <x v="1"/>
    <n v="27"/>
    <s v="Monday"/>
    <s v="February"/>
    <m/>
    <d v="2023-02-27T00:00:00"/>
    <s v="CUST158"/>
    <x v="1"/>
    <n v="57"/>
    <x v="0"/>
    <x v="2"/>
    <n v="2"/>
    <n v="300"/>
    <x v="6"/>
    <n v="9"/>
  </r>
  <r>
    <n v="159"/>
    <x v="0"/>
    <x v="3"/>
    <n v="31"/>
    <s v="Wednesday"/>
    <s v="May"/>
    <m/>
    <d v="2023-05-31T00:00:00"/>
    <s v="CUST159"/>
    <x v="0"/>
    <n v="57"/>
    <x v="0"/>
    <x v="1"/>
    <n v="4"/>
    <n v="50"/>
    <x v="7"/>
    <n v="3"/>
  </r>
  <r>
    <n v="160"/>
    <x v="0"/>
    <x v="8"/>
    <n v="11"/>
    <s v="Friday"/>
    <s v="August"/>
    <m/>
    <d v="2023-08-11T00:00:00"/>
    <s v="CUST160"/>
    <x v="1"/>
    <n v="57"/>
    <x v="0"/>
    <x v="1"/>
    <n v="2"/>
    <n v="50"/>
    <x v="4"/>
    <n v="1.5"/>
  </r>
  <r>
    <n v="161"/>
    <x v="0"/>
    <x v="5"/>
    <n v="22"/>
    <s v="Wednesday"/>
    <s v="March"/>
    <m/>
    <d v="2023-03-22T00:00:00"/>
    <s v="CUST161"/>
    <x v="0"/>
    <n v="57"/>
    <x v="0"/>
    <x v="0"/>
    <n v="2"/>
    <n v="500"/>
    <x v="1"/>
    <n v="15"/>
  </r>
  <r>
    <n v="162"/>
    <x v="0"/>
    <x v="8"/>
    <n v="21"/>
    <s v="Monday"/>
    <s v="August"/>
    <m/>
    <d v="2023-08-21T00:00:00"/>
    <s v="CUST162"/>
    <x v="0"/>
    <n v="57"/>
    <x v="0"/>
    <x v="1"/>
    <n v="2"/>
    <n v="30"/>
    <x v="17"/>
    <n v="0.89999999999999991"/>
  </r>
  <r>
    <n v="163"/>
    <x v="0"/>
    <x v="2"/>
    <n v="2"/>
    <s v="Monday"/>
    <s v="January"/>
    <m/>
    <d v="2023-01-02T00:00:00"/>
    <s v="CUST163"/>
    <x v="1"/>
    <n v="57"/>
    <x v="0"/>
    <x v="1"/>
    <n v="3"/>
    <n v="50"/>
    <x v="0"/>
    <n v="2.25"/>
  </r>
  <r>
    <n v="164"/>
    <x v="0"/>
    <x v="3"/>
    <n v="15"/>
    <s v="Monday"/>
    <s v="May"/>
    <m/>
    <d v="2023-05-15T00:00:00"/>
    <s v="CUST164"/>
    <x v="1"/>
    <n v="57"/>
    <x v="0"/>
    <x v="0"/>
    <n v="3"/>
    <n v="500"/>
    <x v="9"/>
    <n v="22.5"/>
  </r>
  <r>
    <n v="165"/>
    <x v="0"/>
    <x v="9"/>
    <n v="14"/>
    <s v="Thursday"/>
    <s v="September"/>
    <m/>
    <d v="2023-09-14T00:00:00"/>
    <s v="CUST165"/>
    <x v="1"/>
    <n v="57"/>
    <x v="0"/>
    <x v="1"/>
    <n v="4"/>
    <n v="300"/>
    <x v="14"/>
    <n v="18"/>
  </r>
  <r>
    <n v="166"/>
    <x v="0"/>
    <x v="4"/>
    <n v="2"/>
    <s v="Sunday"/>
    <s v="April"/>
    <m/>
    <d v="2023-04-02T00:00:00"/>
    <s v="CUST166"/>
    <x v="0"/>
    <n v="57"/>
    <x v="0"/>
    <x v="1"/>
    <n v="4"/>
    <n v="500"/>
    <x v="11"/>
    <n v="30"/>
  </r>
  <r>
    <n v="167"/>
    <x v="0"/>
    <x v="9"/>
    <n v="17"/>
    <s v="Sunday"/>
    <s v="September"/>
    <m/>
    <d v="2023-09-17T00:00:00"/>
    <s v="CUST167"/>
    <x v="1"/>
    <n v="57"/>
    <x v="0"/>
    <x v="1"/>
    <n v="3"/>
    <n v="50"/>
    <x v="0"/>
    <n v="2.25"/>
  </r>
  <r>
    <n v="168"/>
    <x v="0"/>
    <x v="1"/>
    <n v="24"/>
    <s v="Friday"/>
    <s v="February"/>
    <m/>
    <d v="2023-02-24T00:00:00"/>
    <s v="CUST168"/>
    <x v="0"/>
    <n v="57"/>
    <x v="0"/>
    <x v="1"/>
    <n v="1"/>
    <n v="300"/>
    <x v="13"/>
    <n v="4.5"/>
  </r>
  <r>
    <n v="169"/>
    <x v="0"/>
    <x v="0"/>
    <n v="17"/>
    <s v="Friday"/>
    <s v="November"/>
    <m/>
    <d v="2023-11-17T00:00:00"/>
    <s v="CUST169"/>
    <x v="0"/>
    <n v="57"/>
    <x v="0"/>
    <x v="0"/>
    <n v="3"/>
    <n v="500"/>
    <x v="9"/>
    <n v="22.5"/>
  </r>
  <r>
    <n v="170"/>
    <x v="0"/>
    <x v="10"/>
    <n v="2"/>
    <s v="Friday"/>
    <s v="June"/>
    <m/>
    <d v="2023-06-02T00:00:00"/>
    <s v="CUST170"/>
    <x v="1"/>
    <n v="57"/>
    <x v="0"/>
    <x v="1"/>
    <n v="2"/>
    <n v="25"/>
    <x v="5"/>
    <n v="0.75"/>
  </r>
  <r>
    <n v="171"/>
    <x v="0"/>
    <x v="0"/>
    <n v="24"/>
    <s v="Friday"/>
    <s v="November"/>
    <m/>
    <d v="2023-11-24T00:00:00"/>
    <s v="CUST171"/>
    <x v="1"/>
    <n v="57"/>
    <x v="0"/>
    <x v="1"/>
    <n v="3"/>
    <n v="300"/>
    <x v="12"/>
    <n v="13.5"/>
  </r>
  <r>
    <n v="172"/>
    <x v="0"/>
    <x v="9"/>
    <n v="17"/>
    <s v="Sunday"/>
    <s v="September"/>
    <m/>
    <d v="2023-09-17T00:00:00"/>
    <s v="CUST172"/>
    <x v="0"/>
    <n v="57"/>
    <x v="0"/>
    <x v="0"/>
    <n v="2"/>
    <n v="25"/>
    <x v="5"/>
    <n v="0.75"/>
  </r>
  <r>
    <n v="173"/>
    <x v="0"/>
    <x v="0"/>
    <n v="8"/>
    <s v="Wednesday"/>
    <s v="November"/>
    <m/>
    <d v="2023-11-08T00:00:00"/>
    <s v="CUST173"/>
    <x v="0"/>
    <n v="57"/>
    <x v="0"/>
    <x v="2"/>
    <n v="4"/>
    <n v="30"/>
    <x v="10"/>
    <n v="1.7999999999999998"/>
  </r>
  <r>
    <n v="174"/>
    <x v="0"/>
    <x v="4"/>
    <n v="12"/>
    <s v="Wednesday"/>
    <s v="April"/>
    <m/>
    <d v="2023-04-12T00:00:00"/>
    <s v="CUST174"/>
    <x v="1"/>
    <n v="57"/>
    <x v="0"/>
    <x v="0"/>
    <n v="1"/>
    <n v="300"/>
    <x v="13"/>
    <n v="4.5"/>
  </r>
  <r>
    <n v="175"/>
    <x v="0"/>
    <x v="5"/>
    <n v="20"/>
    <s v="Monday"/>
    <s v="March"/>
    <m/>
    <d v="2023-03-20T00:00:00"/>
    <s v="CUST175"/>
    <x v="1"/>
    <n v="57"/>
    <x v="0"/>
    <x v="2"/>
    <n v="4"/>
    <n v="25"/>
    <x v="4"/>
    <n v="1.5"/>
  </r>
  <r>
    <n v="176"/>
    <x v="0"/>
    <x v="11"/>
    <n v="11"/>
    <s v="Tuesday"/>
    <s v="July"/>
    <m/>
    <d v="2023-07-11T00:00:00"/>
    <s v="CUST176"/>
    <x v="1"/>
    <n v="57"/>
    <x v="0"/>
    <x v="0"/>
    <n v="2"/>
    <n v="50"/>
    <x v="4"/>
    <n v="1.5"/>
  </r>
  <r>
    <n v="177"/>
    <x v="0"/>
    <x v="5"/>
    <n v="24"/>
    <s v="Friday"/>
    <s v="March"/>
    <m/>
    <d v="2023-03-24T00:00:00"/>
    <s v="CUST177"/>
    <x v="0"/>
    <n v="56"/>
    <x v="0"/>
    <x v="0"/>
    <n v="2"/>
    <n v="50"/>
    <x v="4"/>
    <n v="1.5"/>
  </r>
  <r>
    <n v="178"/>
    <x v="0"/>
    <x v="7"/>
    <n v="4"/>
    <s v="Wednesday"/>
    <s v="October"/>
    <m/>
    <d v="2023-10-04T00:00:00"/>
    <s v="CUST178"/>
    <x v="0"/>
    <n v="56"/>
    <x v="0"/>
    <x v="1"/>
    <n v="2"/>
    <n v="30"/>
    <x v="17"/>
    <n v="0.89999999999999991"/>
  </r>
  <r>
    <n v="179"/>
    <x v="0"/>
    <x v="9"/>
    <n v="29"/>
    <s v="Friday"/>
    <s v="September"/>
    <m/>
    <d v="2023-09-29T00:00:00"/>
    <s v="CUST179"/>
    <x v="0"/>
    <n v="56"/>
    <x v="0"/>
    <x v="2"/>
    <n v="1"/>
    <n v="300"/>
    <x v="13"/>
    <n v="4.5"/>
  </r>
  <r>
    <n v="180"/>
    <x v="0"/>
    <x v="2"/>
    <n v="1"/>
    <s v="Sunday"/>
    <s v="January"/>
    <m/>
    <d v="2023-01-01T00:00:00"/>
    <s v="CUST180"/>
    <x v="0"/>
    <n v="56"/>
    <x v="0"/>
    <x v="1"/>
    <n v="3"/>
    <n v="300"/>
    <x v="12"/>
    <n v="13.5"/>
  </r>
  <r>
    <n v="181"/>
    <x v="0"/>
    <x v="0"/>
    <n v="3"/>
    <s v="Friday"/>
    <s v="November"/>
    <m/>
    <d v="2023-11-03T00:00:00"/>
    <s v="CUST181"/>
    <x v="0"/>
    <n v="56"/>
    <x v="0"/>
    <x v="2"/>
    <n v="4"/>
    <n v="300"/>
    <x v="14"/>
    <n v="18"/>
  </r>
  <r>
    <n v="182"/>
    <x v="0"/>
    <x v="10"/>
    <n v="15"/>
    <s v="Thursday"/>
    <s v="June"/>
    <m/>
    <d v="2023-06-15T00:00:00"/>
    <s v="CUST182"/>
    <x v="0"/>
    <n v="56"/>
    <x v="0"/>
    <x v="0"/>
    <n v="4"/>
    <n v="30"/>
    <x v="10"/>
    <n v="1.7999999999999998"/>
  </r>
  <r>
    <n v="183"/>
    <x v="0"/>
    <x v="9"/>
    <n v="8"/>
    <s v="Friday"/>
    <s v="September"/>
    <m/>
    <d v="2023-09-08T00:00:00"/>
    <s v="CUST183"/>
    <x v="1"/>
    <n v="56"/>
    <x v="0"/>
    <x v="0"/>
    <n v="3"/>
    <n v="300"/>
    <x v="12"/>
    <n v="13.5"/>
  </r>
  <r>
    <n v="184"/>
    <x v="0"/>
    <x v="2"/>
    <n v="10"/>
    <s v="Tuesday"/>
    <s v="January"/>
    <m/>
    <d v="2023-01-10T00:00:00"/>
    <s v="CUST184"/>
    <x v="0"/>
    <n v="56"/>
    <x v="0"/>
    <x v="2"/>
    <n v="4"/>
    <n v="50"/>
    <x v="7"/>
    <n v="3"/>
  </r>
  <r>
    <n v="185"/>
    <x v="0"/>
    <x v="1"/>
    <n v="27"/>
    <s v="Monday"/>
    <s v="February"/>
    <m/>
    <d v="2023-02-27T00:00:00"/>
    <s v="CUST185"/>
    <x v="0"/>
    <n v="56"/>
    <x v="0"/>
    <x v="1"/>
    <n v="1"/>
    <n v="25"/>
    <x v="16"/>
    <n v="0.375"/>
  </r>
  <r>
    <n v="186"/>
    <x v="0"/>
    <x v="11"/>
    <n v="5"/>
    <s v="Wednesday"/>
    <s v="July"/>
    <m/>
    <d v="2023-07-05T00:00:00"/>
    <s v="CUST186"/>
    <x v="0"/>
    <n v="56"/>
    <x v="0"/>
    <x v="1"/>
    <n v="4"/>
    <n v="50"/>
    <x v="7"/>
    <n v="3"/>
  </r>
  <r>
    <n v="187"/>
    <x v="0"/>
    <x v="10"/>
    <n v="7"/>
    <s v="Wednesday"/>
    <s v="June"/>
    <m/>
    <d v="2023-06-07T00:00:00"/>
    <s v="CUST187"/>
    <x v="1"/>
    <n v="56"/>
    <x v="0"/>
    <x v="1"/>
    <n v="2"/>
    <n v="50"/>
    <x v="4"/>
    <n v="1.5"/>
  </r>
  <r>
    <n v="188"/>
    <x v="0"/>
    <x v="3"/>
    <n v="3"/>
    <s v="Wednesday"/>
    <s v="May"/>
    <m/>
    <d v="2023-05-03T00:00:00"/>
    <s v="CUST188"/>
    <x v="0"/>
    <n v="56"/>
    <x v="0"/>
    <x v="1"/>
    <n v="3"/>
    <n v="25"/>
    <x v="8"/>
    <n v="1.125"/>
  </r>
  <r>
    <n v="189"/>
    <x v="0"/>
    <x v="2"/>
    <n v="30"/>
    <s v="Monday"/>
    <s v="January"/>
    <m/>
    <d v="2023-01-30T00:00:00"/>
    <s v="CUST189"/>
    <x v="0"/>
    <n v="56"/>
    <x v="0"/>
    <x v="0"/>
    <n v="1"/>
    <n v="50"/>
    <x v="5"/>
    <n v="0.75"/>
  </r>
  <r>
    <n v="190"/>
    <x v="0"/>
    <x v="3"/>
    <n v="4"/>
    <s v="Thursday"/>
    <s v="May"/>
    <m/>
    <d v="2023-05-04T00:00:00"/>
    <s v="CUST190"/>
    <x v="1"/>
    <n v="56"/>
    <x v="0"/>
    <x v="0"/>
    <n v="3"/>
    <n v="30"/>
    <x v="15"/>
    <n v="1.3499999999999999"/>
  </r>
  <r>
    <n v="191"/>
    <x v="0"/>
    <x v="7"/>
    <n v="18"/>
    <s v="Wednesday"/>
    <s v="October"/>
    <m/>
    <d v="2023-10-18T00:00:00"/>
    <s v="CUST191"/>
    <x v="0"/>
    <n v="56"/>
    <x v="0"/>
    <x v="0"/>
    <n v="1"/>
    <n v="25"/>
    <x v="16"/>
    <n v="0.375"/>
  </r>
  <r>
    <n v="192"/>
    <x v="0"/>
    <x v="1"/>
    <n v="10"/>
    <s v="Friday"/>
    <s v="February"/>
    <m/>
    <d v="2023-02-10T00:00:00"/>
    <s v="CUST192"/>
    <x v="0"/>
    <n v="56"/>
    <x v="0"/>
    <x v="0"/>
    <n v="2"/>
    <n v="50"/>
    <x v="4"/>
    <n v="1.5"/>
  </r>
  <r>
    <n v="193"/>
    <x v="0"/>
    <x v="1"/>
    <n v="13"/>
    <s v="Monday"/>
    <s v="February"/>
    <m/>
    <d v="2023-02-13T00:00:00"/>
    <s v="CUST193"/>
    <x v="0"/>
    <n v="56"/>
    <x v="0"/>
    <x v="0"/>
    <n v="3"/>
    <n v="500"/>
    <x v="9"/>
    <n v="22.5"/>
  </r>
  <r>
    <n v="194"/>
    <x v="0"/>
    <x v="9"/>
    <n v="6"/>
    <s v="Wednesday"/>
    <s v="September"/>
    <m/>
    <d v="2023-09-06T00:00:00"/>
    <s v="CUST194"/>
    <x v="0"/>
    <n v="56"/>
    <x v="0"/>
    <x v="1"/>
    <n v="4"/>
    <n v="50"/>
    <x v="7"/>
    <n v="3"/>
  </r>
  <r>
    <n v="195"/>
    <x v="0"/>
    <x v="1"/>
    <n v="5"/>
    <s v="Sunday"/>
    <s v="February"/>
    <m/>
    <d v="2023-02-05T00:00:00"/>
    <s v="CUST195"/>
    <x v="0"/>
    <n v="56"/>
    <x v="0"/>
    <x v="1"/>
    <n v="1"/>
    <n v="30"/>
    <x v="2"/>
    <n v="0.44999999999999996"/>
  </r>
  <r>
    <n v="196"/>
    <x v="0"/>
    <x v="9"/>
    <n v="30"/>
    <s v="Saturday"/>
    <s v="September"/>
    <m/>
    <d v="2023-09-30T00:00:00"/>
    <s v="CUST196"/>
    <x v="1"/>
    <n v="55"/>
    <x v="0"/>
    <x v="1"/>
    <n v="3"/>
    <n v="300"/>
    <x v="12"/>
    <n v="13.5"/>
  </r>
  <r>
    <n v="197"/>
    <x v="0"/>
    <x v="5"/>
    <n v="6"/>
    <s v="Monday"/>
    <s v="March"/>
    <m/>
    <d v="2023-03-06T00:00:00"/>
    <s v="CUST197"/>
    <x v="1"/>
    <n v="55"/>
    <x v="0"/>
    <x v="1"/>
    <n v="4"/>
    <n v="50"/>
    <x v="7"/>
    <n v="3"/>
  </r>
  <r>
    <n v="198"/>
    <x v="0"/>
    <x v="5"/>
    <n v="7"/>
    <s v="Tuesday"/>
    <s v="March"/>
    <m/>
    <d v="2023-03-07T00:00:00"/>
    <s v="CUST198"/>
    <x v="1"/>
    <n v="55"/>
    <x v="0"/>
    <x v="0"/>
    <n v="3"/>
    <n v="300"/>
    <x v="12"/>
    <n v="13.5"/>
  </r>
  <r>
    <n v="199"/>
    <x v="0"/>
    <x v="6"/>
    <n v="4"/>
    <s v="Monday"/>
    <s v="December"/>
    <m/>
    <d v="2023-12-04T00:00:00"/>
    <s v="CUST199"/>
    <x v="0"/>
    <n v="55"/>
    <x v="0"/>
    <x v="0"/>
    <n v="3"/>
    <n v="500"/>
    <x v="9"/>
    <n v="22.5"/>
  </r>
  <r>
    <n v="200"/>
    <x v="0"/>
    <x v="9"/>
    <n v="1"/>
    <s v="Friday"/>
    <s v="September"/>
    <m/>
    <d v="2023-09-01T00:00:00"/>
    <s v="CUST200"/>
    <x v="0"/>
    <n v="55"/>
    <x v="0"/>
    <x v="0"/>
    <n v="3"/>
    <n v="50"/>
    <x v="0"/>
    <n v="2.25"/>
  </r>
  <r>
    <n v="201"/>
    <x v="0"/>
    <x v="7"/>
    <n v="9"/>
    <s v="Monday"/>
    <s v="October"/>
    <m/>
    <d v="2023-10-09T00:00:00"/>
    <s v="CUST201"/>
    <x v="0"/>
    <n v="55"/>
    <x v="0"/>
    <x v="2"/>
    <n v="1"/>
    <n v="25"/>
    <x v="16"/>
    <n v="0.375"/>
  </r>
  <r>
    <n v="202"/>
    <x v="0"/>
    <x v="5"/>
    <n v="26"/>
    <s v="Sunday"/>
    <s v="March"/>
    <m/>
    <d v="2023-03-26T00:00:00"/>
    <s v="CUST202"/>
    <x v="1"/>
    <n v="55"/>
    <x v="0"/>
    <x v="1"/>
    <n v="4"/>
    <n v="300"/>
    <x v="14"/>
    <n v="18"/>
  </r>
  <r>
    <n v="203"/>
    <x v="0"/>
    <x v="3"/>
    <n v="16"/>
    <s v="Tuesday"/>
    <s v="May"/>
    <m/>
    <d v="2023-05-16T00:00:00"/>
    <s v="CUST203"/>
    <x v="0"/>
    <n v="55"/>
    <x v="0"/>
    <x v="1"/>
    <n v="2"/>
    <n v="500"/>
    <x v="1"/>
    <n v="15"/>
  </r>
  <r>
    <n v="204"/>
    <x v="0"/>
    <x v="9"/>
    <n v="28"/>
    <s v="Thursday"/>
    <s v="September"/>
    <m/>
    <d v="2023-09-28T00:00:00"/>
    <s v="CUST204"/>
    <x v="0"/>
    <n v="55"/>
    <x v="0"/>
    <x v="0"/>
    <n v="1"/>
    <n v="25"/>
    <x v="16"/>
    <n v="0.375"/>
  </r>
  <r>
    <n v="205"/>
    <x v="0"/>
    <x v="0"/>
    <n v="7"/>
    <s v="Tuesday"/>
    <s v="November"/>
    <m/>
    <d v="2023-11-07T00:00:00"/>
    <s v="CUST205"/>
    <x v="1"/>
    <n v="55"/>
    <x v="0"/>
    <x v="1"/>
    <n v="1"/>
    <n v="25"/>
    <x v="16"/>
    <n v="0.375"/>
  </r>
  <r>
    <n v="206"/>
    <x v="0"/>
    <x v="8"/>
    <n v="5"/>
    <s v="Saturday"/>
    <s v="August"/>
    <m/>
    <d v="2023-08-05T00:00:00"/>
    <s v="CUST206"/>
    <x v="0"/>
    <n v="55"/>
    <x v="0"/>
    <x v="1"/>
    <n v="1"/>
    <n v="25"/>
    <x v="16"/>
    <n v="0.375"/>
  </r>
  <r>
    <n v="207"/>
    <x v="0"/>
    <x v="4"/>
    <n v="19"/>
    <s v="Wednesday"/>
    <s v="April"/>
    <m/>
    <d v="2023-04-19T00:00:00"/>
    <s v="CUST207"/>
    <x v="1"/>
    <n v="55"/>
    <x v="0"/>
    <x v="0"/>
    <n v="2"/>
    <n v="25"/>
    <x v="5"/>
    <n v="0.75"/>
  </r>
  <r>
    <n v="208"/>
    <x v="0"/>
    <x v="7"/>
    <n v="4"/>
    <s v="Wednesday"/>
    <s v="October"/>
    <m/>
    <d v="2023-10-04T00:00:00"/>
    <s v="CUST208"/>
    <x v="1"/>
    <n v="55"/>
    <x v="0"/>
    <x v="2"/>
    <n v="4"/>
    <n v="50"/>
    <x v="7"/>
    <n v="3"/>
  </r>
  <r>
    <n v="209"/>
    <x v="0"/>
    <x v="6"/>
    <n v="20"/>
    <s v="Wednesday"/>
    <s v="December"/>
    <m/>
    <d v="2023-12-20T00:00:00"/>
    <s v="CUST209"/>
    <x v="1"/>
    <n v="55"/>
    <x v="0"/>
    <x v="2"/>
    <n v="4"/>
    <n v="50"/>
    <x v="7"/>
    <n v="3"/>
  </r>
  <r>
    <n v="210"/>
    <x v="0"/>
    <x v="4"/>
    <n v="13"/>
    <s v="Thursday"/>
    <s v="April"/>
    <m/>
    <d v="2023-04-13T00:00:00"/>
    <s v="CUST210"/>
    <x v="0"/>
    <n v="55"/>
    <x v="0"/>
    <x v="2"/>
    <n v="4"/>
    <n v="50"/>
    <x v="7"/>
    <n v="3"/>
  </r>
  <r>
    <n v="212"/>
    <x v="0"/>
    <x v="10"/>
    <n v="9"/>
    <s v="Friday"/>
    <s v="June"/>
    <m/>
    <d v="2023-06-09T00:00:00"/>
    <s v="CUST212"/>
    <x v="0"/>
    <n v="55"/>
    <x v="0"/>
    <x v="1"/>
    <n v="3"/>
    <n v="500"/>
    <x v="9"/>
    <n v="22.5"/>
  </r>
  <r>
    <n v="213"/>
    <x v="0"/>
    <x v="11"/>
    <n v="24"/>
    <s v="Monday"/>
    <s v="July"/>
    <m/>
    <d v="2023-07-24T00:00:00"/>
    <s v="CUST213"/>
    <x v="0"/>
    <n v="55"/>
    <x v="0"/>
    <x v="0"/>
    <n v="3"/>
    <n v="500"/>
    <x v="9"/>
    <n v="22.5"/>
  </r>
  <r>
    <n v="214"/>
    <x v="0"/>
    <x v="6"/>
    <n v="10"/>
    <s v="Sunday"/>
    <s v="December"/>
    <m/>
    <d v="2023-12-10T00:00:00"/>
    <s v="CUST214"/>
    <x v="0"/>
    <n v="55"/>
    <x v="0"/>
    <x v="0"/>
    <n v="2"/>
    <n v="30"/>
    <x v="17"/>
    <n v="0.89999999999999991"/>
  </r>
  <r>
    <n v="215"/>
    <x v="0"/>
    <x v="0"/>
    <n v="29"/>
    <s v="Wednesday"/>
    <s v="November"/>
    <m/>
    <d v="2023-11-29T00:00:00"/>
    <s v="CUST215"/>
    <x v="0"/>
    <n v="55"/>
    <x v="0"/>
    <x v="1"/>
    <n v="3"/>
    <n v="500"/>
    <x v="9"/>
    <n v="22.5"/>
  </r>
  <r>
    <n v="216"/>
    <x v="0"/>
    <x v="11"/>
    <n v="11"/>
    <s v="Tuesday"/>
    <s v="July"/>
    <m/>
    <d v="2023-07-11T00:00:00"/>
    <s v="CUST216"/>
    <x v="0"/>
    <n v="55"/>
    <x v="0"/>
    <x v="2"/>
    <n v="2"/>
    <n v="50"/>
    <x v="4"/>
    <n v="1.5"/>
  </r>
  <r>
    <n v="217"/>
    <x v="0"/>
    <x v="8"/>
    <n v="13"/>
    <s v="Sunday"/>
    <s v="August"/>
    <m/>
    <d v="2023-08-13T00:00:00"/>
    <s v="CUST217"/>
    <x v="1"/>
    <n v="54"/>
    <x v="0"/>
    <x v="2"/>
    <n v="4"/>
    <n v="50"/>
    <x v="7"/>
    <n v="3"/>
  </r>
  <r>
    <n v="218"/>
    <x v="0"/>
    <x v="9"/>
    <n v="22"/>
    <s v="Friday"/>
    <s v="September"/>
    <m/>
    <d v="2023-09-22T00:00:00"/>
    <s v="CUST218"/>
    <x v="0"/>
    <n v="54"/>
    <x v="0"/>
    <x v="0"/>
    <n v="3"/>
    <n v="30"/>
    <x v="15"/>
    <n v="1.3499999999999999"/>
  </r>
  <r>
    <n v="219"/>
    <x v="0"/>
    <x v="8"/>
    <n v="20"/>
    <s v="Sunday"/>
    <s v="August"/>
    <m/>
    <d v="2023-08-20T00:00:00"/>
    <s v="CUST219"/>
    <x v="1"/>
    <n v="54"/>
    <x v="0"/>
    <x v="2"/>
    <n v="3"/>
    <n v="30"/>
    <x v="15"/>
    <n v="1.3499999999999999"/>
  </r>
  <r>
    <n v="220"/>
    <x v="0"/>
    <x v="5"/>
    <n v="3"/>
    <s v="Friday"/>
    <s v="March"/>
    <m/>
    <d v="2023-03-03T00:00:00"/>
    <s v="CUST220"/>
    <x v="0"/>
    <n v="54"/>
    <x v="0"/>
    <x v="0"/>
    <n v="1"/>
    <n v="500"/>
    <x v="3"/>
    <n v="7.5"/>
  </r>
  <r>
    <n v="221"/>
    <x v="0"/>
    <x v="3"/>
    <n v="7"/>
    <s v="Sunday"/>
    <s v="May"/>
    <m/>
    <d v="2023-05-07T00:00:00"/>
    <s v="CUST221"/>
    <x v="0"/>
    <n v="54"/>
    <x v="0"/>
    <x v="0"/>
    <n v="2"/>
    <n v="300"/>
    <x v="6"/>
    <n v="9"/>
  </r>
  <r>
    <n v="222"/>
    <x v="0"/>
    <x v="4"/>
    <n v="26"/>
    <s v="Wednesday"/>
    <s v="April"/>
    <m/>
    <d v="2023-04-26T00:00:00"/>
    <s v="CUST222"/>
    <x v="0"/>
    <n v="54"/>
    <x v="0"/>
    <x v="1"/>
    <n v="4"/>
    <n v="30"/>
    <x v="10"/>
    <n v="1.7999999999999998"/>
  </r>
  <r>
    <n v="223"/>
    <x v="0"/>
    <x v="1"/>
    <n v="2"/>
    <s v="Thursday"/>
    <s v="February"/>
    <m/>
    <d v="2023-02-02T00:00:00"/>
    <s v="CUST223"/>
    <x v="1"/>
    <n v="54"/>
    <x v="0"/>
    <x v="1"/>
    <n v="1"/>
    <n v="25"/>
    <x v="16"/>
    <n v="0.375"/>
  </r>
  <r>
    <n v="224"/>
    <x v="0"/>
    <x v="10"/>
    <n v="23"/>
    <s v="Friday"/>
    <s v="June"/>
    <m/>
    <d v="2023-06-23T00:00:00"/>
    <s v="CUST224"/>
    <x v="1"/>
    <n v="54"/>
    <x v="0"/>
    <x v="1"/>
    <n v="1"/>
    <n v="50"/>
    <x v="5"/>
    <n v="0.75"/>
  </r>
  <r>
    <n v="225"/>
    <x v="0"/>
    <x v="2"/>
    <n v="11"/>
    <s v="Wednesday"/>
    <s v="January"/>
    <m/>
    <d v="2023-01-11T00:00:00"/>
    <s v="CUST225"/>
    <x v="1"/>
    <n v="54"/>
    <x v="0"/>
    <x v="0"/>
    <n v="4"/>
    <n v="25"/>
    <x v="4"/>
    <n v="1.5"/>
  </r>
  <r>
    <n v="226"/>
    <x v="0"/>
    <x v="7"/>
    <n v="29"/>
    <s v="Sunday"/>
    <s v="October"/>
    <m/>
    <d v="2023-10-29T00:00:00"/>
    <s v="CUST226"/>
    <x v="1"/>
    <n v="54"/>
    <x v="0"/>
    <x v="1"/>
    <n v="1"/>
    <n v="50"/>
    <x v="5"/>
    <n v="0.75"/>
  </r>
  <r>
    <n v="227"/>
    <x v="0"/>
    <x v="7"/>
    <n v="11"/>
    <s v="Wednesday"/>
    <s v="October"/>
    <m/>
    <d v="2023-10-11T00:00:00"/>
    <s v="CUST227"/>
    <x v="0"/>
    <n v="54"/>
    <x v="0"/>
    <x v="2"/>
    <n v="2"/>
    <n v="50"/>
    <x v="4"/>
    <n v="1.5"/>
  </r>
  <r>
    <n v="228"/>
    <x v="0"/>
    <x v="4"/>
    <n v="28"/>
    <s v="Friday"/>
    <s v="April"/>
    <m/>
    <d v="2023-04-28T00:00:00"/>
    <s v="CUST228"/>
    <x v="1"/>
    <n v="54"/>
    <x v="0"/>
    <x v="2"/>
    <n v="2"/>
    <n v="30"/>
    <x v="17"/>
    <n v="0.89999999999999991"/>
  </r>
  <r>
    <n v="229"/>
    <x v="0"/>
    <x v="7"/>
    <n v="29"/>
    <s v="Sunday"/>
    <s v="October"/>
    <m/>
    <d v="2023-10-29T00:00:00"/>
    <s v="CUST229"/>
    <x v="0"/>
    <n v="54"/>
    <x v="0"/>
    <x v="0"/>
    <n v="3"/>
    <n v="30"/>
    <x v="15"/>
    <n v="1.3499999999999999"/>
  </r>
  <r>
    <n v="230"/>
    <x v="0"/>
    <x v="4"/>
    <n v="23"/>
    <s v="Sunday"/>
    <s v="April"/>
    <m/>
    <d v="2023-04-23T00:00:00"/>
    <s v="CUST230"/>
    <x v="0"/>
    <n v="54"/>
    <x v="0"/>
    <x v="0"/>
    <n v="1"/>
    <n v="25"/>
    <x v="16"/>
    <n v="0.375"/>
  </r>
  <r>
    <n v="231"/>
    <x v="0"/>
    <x v="2"/>
    <n v="4"/>
    <s v="Wednesday"/>
    <s v="January"/>
    <m/>
    <d v="2023-01-04T00:00:00"/>
    <s v="CUST231"/>
    <x v="1"/>
    <n v="54"/>
    <x v="0"/>
    <x v="1"/>
    <n v="3"/>
    <n v="50"/>
    <x v="0"/>
    <n v="2.25"/>
  </r>
  <r>
    <n v="232"/>
    <x v="0"/>
    <x v="1"/>
    <n v="6"/>
    <s v="Monday"/>
    <s v="February"/>
    <m/>
    <d v="2023-02-06T00:00:00"/>
    <s v="CUST232"/>
    <x v="1"/>
    <n v="54"/>
    <x v="0"/>
    <x v="0"/>
    <n v="1"/>
    <n v="25"/>
    <x v="16"/>
    <n v="0.375"/>
  </r>
  <r>
    <n v="233"/>
    <x v="0"/>
    <x v="6"/>
    <n v="29"/>
    <s v="Friday"/>
    <s v="December"/>
    <m/>
    <d v="2023-12-29T00:00:00"/>
    <s v="CUST233"/>
    <x v="1"/>
    <n v="54"/>
    <x v="0"/>
    <x v="0"/>
    <n v="2"/>
    <n v="300"/>
    <x v="6"/>
    <n v="9"/>
  </r>
  <r>
    <n v="234"/>
    <x v="0"/>
    <x v="0"/>
    <n v="20"/>
    <s v="Monday"/>
    <s v="November"/>
    <m/>
    <d v="2023-11-20T00:00:00"/>
    <s v="CUST234"/>
    <x v="1"/>
    <n v="54"/>
    <x v="0"/>
    <x v="2"/>
    <n v="2"/>
    <n v="25"/>
    <x v="5"/>
    <n v="0.75"/>
  </r>
  <r>
    <n v="235"/>
    <x v="0"/>
    <x v="2"/>
    <n v="31"/>
    <s v="Tuesday"/>
    <s v="January"/>
    <m/>
    <d v="2023-01-31T00:00:00"/>
    <s v="CUST235"/>
    <x v="1"/>
    <n v="54"/>
    <x v="0"/>
    <x v="2"/>
    <n v="2"/>
    <n v="500"/>
    <x v="1"/>
    <n v="15"/>
  </r>
  <r>
    <n v="236"/>
    <x v="0"/>
    <x v="4"/>
    <n v="28"/>
    <s v="Friday"/>
    <s v="April"/>
    <m/>
    <d v="2023-04-28T00:00:00"/>
    <s v="CUST236"/>
    <x v="1"/>
    <n v="54"/>
    <x v="0"/>
    <x v="1"/>
    <n v="1"/>
    <n v="25"/>
    <x v="16"/>
    <n v="0.375"/>
  </r>
  <r>
    <n v="237"/>
    <x v="0"/>
    <x v="1"/>
    <n v="4"/>
    <s v="Saturday"/>
    <s v="February"/>
    <m/>
    <d v="2023-02-04T00:00:00"/>
    <s v="CUST237"/>
    <x v="1"/>
    <n v="54"/>
    <x v="0"/>
    <x v="0"/>
    <n v="2"/>
    <n v="500"/>
    <x v="1"/>
    <n v="15"/>
  </r>
  <r>
    <n v="238"/>
    <x v="0"/>
    <x v="2"/>
    <n v="17"/>
    <s v="Tuesday"/>
    <s v="January"/>
    <m/>
    <d v="2023-01-17T00:00:00"/>
    <s v="CUST238"/>
    <x v="1"/>
    <n v="54"/>
    <x v="0"/>
    <x v="0"/>
    <n v="1"/>
    <n v="500"/>
    <x v="3"/>
    <n v="7.5"/>
  </r>
  <r>
    <n v="239"/>
    <x v="0"/>
    <x v="10"/>
    <n v="19"/>
    <s v="Monday"/>
    <s v="June"/>
    <m/>
    <d v="2023-06-19T00:00:00"/>
    <s v="CUST239"/>
    <x v="0"/>
    <n v="54"/>
    <x v="0"/>
    <x v="2"/>
    <n v="3"/>
    <n v="500"/>
    <x v="9"/>
    <n v="22.5"/>
  </r>
  <r>
    <n v="240"/>
    <x v="0"/>
    <x v="1"/>
    <n v="6"/>
    <s v="Monday"/>
    <s v="February"/>
    <m/>
    <d v="2023-02-06T00:00:00"/>
    <s v="CUST240"/>
    <x v="1"/>
    <n v="54"/>
    <x v="0"/>
    <x v="0"/>
    <n v="1"/>
    <n v="300"/>
    <x v="13"/>
    <n v="4.5"/>
  </r>
  <r>
    <n v="241"/>
    <x v="0"/>
    <x v="9"/>
    <n v="21"/>
    <s v="Thursday"/>
    <s v="September"/>
    <m/>
    <d v="2023-09-21T00:00:00"/>
    <s v="CUST241"/>
    <x v="1"/>
    <n v="54"/>
    <x v="0"/>
    <x v="2"/>
    <n v="3"/>
    <n v="25"/>
    <x v="8"/>
    <n v="1.125"/>
  </r>
  <r>
    <n v="242"/>
    <x v="0"/>
    <x v="3"/>
    <n v="2"/>
    <s v="Tuesday"/>
    <s v="May"/>
    <m/>
    <d v="2023-05-02T00:00:00"/>
    <s v="CUST242"/>
    <x v="0"/>
    <n v="54"/>
    <x v="0"/>
    <x v="1"/>
    <n v="1"/>
    <n v="25"/>
    <x v="16"/>
    <n v="0.375"/>
  </r>
  <r>
    <n v="243"/>
    <x v="0"/>
    <x v="3"/>
    <n v="23"/>
    <s v="Tuesday"/>
    <s v="May"/>
    <m/>
    <d v="2023-05-23T00:00:00"/>
    <s v="CUST243"/>
    <x v="1"/>
    <n v="54"/>
    <x v="0"/>
    <x v="2"/>
    <n v="3"/>
    <n v="300"/>
    <x v="12"/>
    <n v="13.5"/>
  </r>
  <r>
    <n v="244"/>
    <x v="0"/>
    <x v="6"/>
    <n v="9"/>
    <s v="Saturday"/>
    <s v="December"/>
    <m/>
    <d v="2023-12-09T00:00:00"/>
    <s v="CUST244"/>
    <x v="0"/>
    <n v="54"/>
    <x v="0"/>
    <x v="0"/>
    <n v="2"/>
    <n v="50"/>
    <x v="4"/>
    <n v="1.5"/>
  </r>
  <r>
    <n v="245"/>
    <x v="0"/>
    <x v="9"/>
    <n v="6"/>
    <s v="Wednesday"/>
    <s v="September"/>
    <m/>
    <d v="2023-09-06T00:00:00"/>
    <s v="CUST245"/>
    <x v="0"/>
    <n v="53"/>
    <x v="0"/>
    <x v="1"/>
    <n v="3"/>
    <n v="30"/>
    <x v="15"/>
    <n v="1.3499999999999999"/>
  </r>
  <r>
    <n v="246"/>
    <x v="0"/>
    <x v="4"/>
    <n v="20"/>
    <s v="Thursday"/>
    <s v="April"/>
    <m/>
    <d v="2023-04-20T00:00:00"/>
    <s v="CUST246"/>
    <x v="1"/>
    <n v="53"/>
    <x v="0"/>
    <x v="2"/>
    <n v="2"/>
    <n v="25"/>
    <x v="5"/>
    <n v="0.75"/>
  </r>
  <r>
    <n v="247"/>
    <x v="0"/>
    <x v="7"/>
    <n v="4"/>
    <s v="Wednesday"/>
    <s v="October"/>
    <m/>
    <d v="2023-10-04T00:00:00"/>
    <s v="CUST247"/>
    <x v="0"/>
    <n v="53"/>
    <x v="0"/>
    <x v="2"/>
    <n v="2"/>
    <n v="30"/>
    <x v="17"/>
    <n v="0.89999999999999991"/>
  </r>
  <r>
    <n v="248"/>
    <x v="0"/>
    <x v="5"/>
    <n v="9"/>
    <s v="Thursday"/>
    <s v="March"/>
    <m/>
    <d v="2023-03-09T00:00:00"/>
    <s v="CUST248"/>
    <x v="0"/>
    <n v="53"/>
    <x v="0"/>
    <x v="1"/>
    <n v="3"/>
    <n v="300"/>
    <x v="12"/>
    <n v="13.5"/>
  </r>
  <r>
    <n v="249"/>
    <x v="0"/>
    <x v="7"/>
    <n v="20"/>
    <s v="Friday"/>
    <s v="October"/>
    <m/>
    <d v="2023-10-20T00:00:00"/>
    <s v="CUST249"/>
    <x v="0"/>
    <n v="53"/>
    <x v="0"/>
    <x v="1"/>
    <n v="1"/>
    <n v="50"/>
    <x v="5"/>
    <n v="0.75"/>
  </r>
  <r>
    <n v="250"/>
    <x v="0"/>
    <x v="7"/>
    <n v="23"/>
    <s v="Monday"/>
    <s v="October"/>
    <m/>
    <d v="2023-10-23T00:00:00"/>
    <s v="CUST250"/>
    <x v="0"/>
    <n v="53"/>
    <x v="0"/>
    <x v="2"/>
    <n v="1"/>
    <n v="50"/>
    <x v="5"/>
    <n v="0.75"/>
  </r>
  <r>
    <n v="251"/>
    <x v="0"/>
    <x v="8"/>
    <n v="31"/>
    <s v="Thursday"/>
    <s v="August"/>
    <m/>
    <d v="2023-08-31T00:00:00"/>
    <s v="CUST251"/>
    <x v="1"/>
    <n v="53"/>
    <x v="0"/>
    <x v="0"/>
    <n v="4"/>
    <n v="50"/>
    <x v="7"/>
    <n v="3"/>
  </r>
  <r>
    <n v="252"/>
    <x v="0"/>
    <x v="3"/>
    <n v="5"/>
    <s v="Friday"/>
    <s v="May"/>
    <m/>
    <d v="2023-05-05T00:00:00"/>
    <s v="CUST252"/>
    <x v="0"/>
    <n v="53"/>
    <x v="0"/>
    <x v="2"/>
    <n v="1"/>
    <n v="300"/>
    <x v="13"/>
    <n v="4.5"/>
  </r>
  <r>
    <n v="253"/>
    <x v="0"/>
    <x v="8"/>
    <n v="31"/>
    <s v="Thursday"/>
    <s v="August"/>
    <m/>
    <d v="2023-08-31T00:00:00"/>
    <s v="CUST253"/>
    <x v="1"/>
    <n v="53"/>
    <x v="0"/>
    <x v="1"/>
    <n v="4"/>
    <n v="500"/>
    <x v="11"/>
    <n v="30"/>
  </r>
  <r>
    <n v="254"/>
    <x v="0"/>
    <x v="11"/>
    <n v="28"/>
    <s v="Friday"/>
    <s v="July"/>
    <m/>
    <d v="2023-07-28T00:00:00"/>
    <s v="CUST254"/>
    <x v="0"/>
    <n v="53"/>
    <x v="0"/>
    <x v="2"/>
    <n v="1"/>
    <n v="500"/>
    <x v="3"/>
    <n v="7.5"/>
  </r>
  <r>
    <n v="255"/>
    <x v="0"/>
    <x v="4"/>
    <n v="8"/>
    <s v="Saturday"/>
    <s v="April"/>
    <m/>
    <d v="2023-04-08T00:00:00"/>
    <s v="CUST255"/>
    <x v="0"/>
    <n v="53"/>
    <x v="0"/>
    <x v="1"/>
    <n v="1"/>
    <n v="30"/>
    <x v="2"/>
    <n v="0.44999999999999996"/>
  </r>
  <r>
    <n v="256"/>
    <x v="0"/>
    <x v="1"/>
    <n v="18"/>
    <s v="Saturday"/>
    <s v="February"/>
    <m/>
    <d v="2023-02-18T00:00:00"/>
    <s v="CUST256"/>
    <x v="0"/>
    <n v="53"/>
    <x v="0"/>
    <x v="1"/>
    <n v="2"/>
    <n v="500"/>
    <x v="1"/>
    <n v="15"/>
  </r>
  <r>
    <n v="257"/>
    <x v="0"/>
    <x v="1"/>
    <n v="19"/>
    <s v="Sunday"/>
    <s v="February"/>
    <m/>
    <d v="2023-02-19T00:00:00"/>
    <s v="CUST257"/>
    <x v="0"/>
    <n v="53"/>
    <x v="0"/>
    <x v="0"/>
    <n v="4"/>
    <n v="500"/>
    <x v="11"/>
    <n v="30"/>
  </r>
  <r>
    <n v="258"/>
    <x v="0"/>
    <x v="6"/>
    <n v="4"/>
    <s v="Monday"/>
    <s v="December"/>
    <m/>
    <d v="2023-12-04T00:00:00"/>
    <s v="CUST258"/>
    <x v="1"/>
    <n v="53"/>
    <x v="0"/>
    <x v="1"/>
    <n v="1"/>
    <n v="50"/>
    <x v="5"/>
    <n v="0.75"/>
  </r>
  <r>
    <n v="259"/>
    <x v="0"/>
    <x v="8"/>
    <n v="9"/>
    <s v="Wednesday"/>
    <s v="August"/>
    <m/>
    <d v="2023-08-09T00:00:00"/>
    <s v="CUST259"/>
    <x v="1"/>
    <n v="53"/>
    <x v="0"/>
    <x v="1"/>
    <n v="4"/>
    <n v="50"/>
    <x v="7"/>
    <n v="3"/>
  </r>
  <r>
    <n v="260"/>
    <x v="0"/>
    <x v="11"/>
    <n v="1"/>
    <s v="Saturday"/>
    <s v="July"/>
    <m/>
    <d v="2023-07-01T00:00:00"/>
    <s v="CUST260"/>
    <x v="0"/>
    <n v="53"/>
    <x v="0"/>
    <x v="0"/>
    <n v="2"/>
    <n v="30"/>
    <x v="17"/>
    <n v="0.89999999999999991"/>
  </r>
  <r>
    <n v="261"/>
    <x v="0"/>
    <x v="8"/>
    <n v="5"/>
    <s v="Saturday"/>
    <s v="August"/>
    <m/>
    <d v="2023-08-05T00:00:00"/>
    <s v="CUST261"/>
    <x v="0"/>
    <n v="53"/>
    <x v="0"/>
    <x v="1"/>
    <n v="2"/>
    <n v="25"/>
    <x v="5"/>
    <n v="0.75"/>
  </r>
  <r>
    <n v="262"/>
    <x v="0"/>
    <x v="11"/>
    <n v="30"/>
    <s v="Sunday"/>
    <s v="July"/>
    <m/>
    <d v="2023-07-30T00:00:00"/>
    <s v="CUST262"/>
    <x v="1"/>
    <n v="52"/>
    <x v="0"/>
    <x v="0"/>
    <n v="4"/>
    <n v="30"/>
    <x v="10"/>
    <n v="1.7999999999999998"/>
  </r>
  <r>
    <n v="263"/>
    <x v="0"/>
    <x v="8"/>
    <n v="28"/>
    <s v="Monday"/>
    <s v="August"/>
    <m/>
    <d v="2023-08-28T00:00:00"/>
    <s v="CUST263"/>
    <x v="0"/>
    <n v="52"/>
    <x v="0"/>
    <x v="0"/>
    <n v="2"/>
    <n v="30"/>
    <x v="17"/>
    <n v="0.89999999999999991"/>
  </r>
  <r>
    <n v="264"/>
    <x v="0"/>
    <x v="2"/>
    <n v="28"/>
    <s v="Saturday"/>
    <s v="January"/>
    <m/>
    <d v="2023-01-28T00:00:00"/>
    <s v="CUST264"/>
    <x v="0"/>
    <n v="52"/>
    <x v="0"/>
    <x v="1"/>
    <n v="3"/>
    <n v="300"/>
    <x v="12"/>
    <n v="13.5"/>
  </r>
  <r>
    <n v="265"/>
    <x v="0"/>
    <x v="6"/>
    <n v="11"/>
    <s v="Monday"/>
    <s v="December"/>
    <m/>
    <d v="2023-12-11T00:00:00"/>
    <s v="CUST265"/>
    <x v="0"/>
    <n v="52"/>
    <x v="0"/>
    <x v="1"/>
    <n v="3"/>
    <n v="300"/>
    <x v="12"/>
    <n v="13.5"/>
  </r>
  <r>
    <n v="266"/>
    <x v="0"/>
    <x v="6"/>
    <n v="1"/>
    <s v="Friday"/>
    <s v="December"/>
    <m/>
    <d v="2023-12-01T00:00:00"/>
    <s v="CUST266"/>
    <x v="1"/>
    <n v="52"/>
    <x v="0"/>
    <x v="2"/>
    <n v="2"/>
    <n v="30"/>
    <x v="17"/>
    <n v="0.89999999999999991"/>
  </r>
  <r>
    <n v="267"/>
    <x v="0"/>
    <x v="0"/>
    <n v="27"/>
    <s v="Monday"/>
    <s v="November"/>
    <m/>
    <d v="2023-11-27T00:00:00"/>
    <s v="CUST267"/>
    <x v="1"/>
    <n v="52"/>
    <x v="0"/>
    <x v="0"/>
    <n v="3"/>
    <n v="30"/>
    <x v="15"/>
    <n v="1.3499999999999999"/>
  </r>
  <r>
    <n v="268"/>
    <x v="0"/>
    <x v="1"/>
    <n v="20"/>
    <s v="Monday"/>
    <s v="February"/>
    <m/>
    <d v="2023-02-20T00:00:00"/>
    <s v="CUST268"/>
    <x v="1"/>
    <n v="52"/>
    <x v="0"/>
    <x v="2"/>
    <n v="1"/>
    <n v="30"/>
    <x v="2"/>
    <n v="0.44999999999999996"/>
  </r>
  <r>
    <n v="269"/>
    <x v="0"/>
    <x v="1"/>
    <n v="1"/>
    <s v="Wednesday"/>
    <s v="February"/>
    <m/>
    <d v="2023-02-01T00:00:00"/>
    <s v="CUST269"/>
    <x v="0"/>
    <n v="52"/>
    <x v="0"/>
    <x v="1"/>
    <n v="4"/>
    <n v="500"/>
    <x v="11"/>
    <n v="30"/>
  </r>
  <r>
    <n v="270"/>
    <x v="0"/>
    <x v="11"/>
    <n v="26"/>
    <s v="Wednesday"/>
    <s v="July"/>
    <m/>
    <d v="2023-07-26T00:00:00"/>
    <s v="CUST270"/>
    <x v="0"/>
    <n v="52"/>
    <x v="0"/>
    <x v="2"/>
    <n v="1"/>
    <n v="300"/>
    <x v="13"/>
    <n v="4.5"/>
  </r>
  <r>
    <n v="271"/>
    <x v="0"/>
    <x v="10"/>
    <n v="23"/>
    <s v="Friday"/>
    <s v="June"/>
    <m/>
    <d v="2023-06-23T00:00:00"/>
    <s v="CUST271"/>
    <x v="1"/>
    <n v="52"/>
    <x v="0"/>
    <x v="0"/>
    <n v="4"/>
    <n v="30"/>
    <x v="10"/>
    <n v="1.7999999999999998"/>
  </r>
  <r>
    <n v="272"/>
    <x v="0"/>
    <x v="1"/>
    <n v="25"/>
    <s v="Saturday"/>
    <s v="February"/>
    <m/>
    <d v="2023-02-25T00:00:00"/>
    <s v="CUST272"/>
    <x v="1"/>
    <n v="52"/>
    <x v="0"/>
    <x v="2"/>
    <n v="2"/>
    <n v="50"/>
    <x v="4"/>
    <n v="1.5"/>
  </r>
  <r>
    <n v="273"/>
    <x v="0"/>
    <x v="3"/>
    <n v="8"/>
    <s v="Monday"/>
    <s v="May"/>
    <m/>
    <d v="2023-05-08T00:00:00"/>
    <s v="CUST273"/>
    <x v="1"/>
    <n v="52"/>
    <x v="0"/>
    <x v="0"/>
    <n v="1"/>
    <n v="50"/>
    <x v="5"/>
    <n v="0.75"/>
  </r>
  <r>
    <n v="274"/>
    <x v="0"/>
    <x v="4"/>
    <n v="9"/>
    <s v="Sunday"/>
    <s v="April"/>
    <m/>
    <d v="2023-04-09T00:00:00"/>
    <s v="CUST274"/>
    <x v="1"/>
    <n v="52"/>
    <x v="0"/>
    <x v="1"/>
    <n v="2"/>
    <n v="500"/>
    <x v="1"/>
    <n v="15"/>
  </r>
  <r>
    <n v="275"/>
    <x v="0"/>
    <x v="4"/>
    <n v="8"/>
    <s v="Saturday"/>
    <s v="April"/>
    <m/>
    <d v="2023-04-08T00:00:00"/>
    <s v="CUST275"/>
    <x v="0"/>
    <n v="52"/>
    <x v="0"/>
    <x v="1"/>
    <n v="2"/>
    <n v="500"/>
    <x v="1"/>
    <n v="15"/>
  </r>
  <r>
    <n v="276"/>
    <x v="0"/>
    <x v="7"/>
    <n v="2"/>
    <s v="Monday"/>
    <s v="October"/>
    <m/>
    <d v="2023-10-02T00:00:00"/>
    <s v="CUST276"/>
    <x v="1"/>
    <n v="52"/>
    <x v="0"/>
    <x v="0"/>
    <n v="4"/>
    <n v="25"/>
    <x v="4"/>
    <n v="1.5"/>
  </r>
  <r>
    <n v="277"/>
    <x v="0"/>
    <x v="8"/>
    <n v="18"/>
    <s v="Friday"/>
    <s v="August"/>
    <m/>
    <d v="2023-08-18T00:00:00"/>
    <s v="CUST277"/>
    <x v="0"/>
    <n v="52"/>
    <x v="0"/>
    <x v="1"/>
    <n v="4"/>
    <n v="25"/>
    <x v="4"/>
    <n v="1.5"/>
  </r>
  <r>
    <n v="278"/>
    <x v="0"/>
    <x v="5"/>
    <n v="13"/>
    <s v="Monday"/>
    <s v="March"/>
    <m/>
    <d v="2023-03-13T00:00:00"/>
    <s v="CUST278"/>
    <x v="1"/>
    <n v="52"/>
    <x v="0"/>
    <x v="1"/>
    <n v="4"/>
    <n v="25"/>
    <x v="4"/>
    <n v="1.5"/>
  </r>
  <r>
    <n v="279"/>
    <x v="0"/>
    <x v="8"/>
    <n v="5"/>
    <s v="Saturday"/>
    <s v="August"/>
    <m/>
    <d v="2023-08-05T00:00:00"/>
    <s v="CUST279"/>
    <x v="0"/>
    <n v="52"/>
    <x v="0"/>
    <x v="1"/>
    <n v="1"/>
    <n v="500"/>
    <x v="3"/>
    <n v="7.5"/>
  </r>
  <r>
    <n v="280"/>
    <x v="0"/>
    <x v="4"/>
    <n v="4"/>
    <s v="Tuesday"/>
    <s v="April"/>
    <m/>
    <d v="2023-04-04T00:00:00"/>
    <s v="CUST280"/>
    <x v="1"/>
    <n v="52"/>
    <x v="0"/>
    <x v="1"/>
    <n v="3"/>
    <n v="500"/>
    <x v="9"/>
    <n v="22.5"/>
  </r>
  <r>
    <n v="281"/>
    <x v="0"/>
    <x v="3"/>
    <n v="23"/>
    <s v="Tuesday"/>
    <s v="May"/>
    <m/>
    <d v="2023-05-23T00:00:00"/>
    <s v="CUST281"/>
    <x v="1"/>
    <n v="52"/>
    <x v="0"/>
    <x v="0"/>
    <n v="4"/>
    <n v="500"/>
    <x v="11"/>
    <n v="30"/>
  </r>
  <r>
    <n v="282"/>
    <x v="0"/>
    <x v="8"/>
    <n v="25"/>
    <s v="Friday"/>
    <s v="August"/>
    <m/>
    <d v="2023-08-25T00:00:00"/>
    <s v="CUST282"/>
    <x v="1"/>
    <n v="52"/>
    <x v="0"/>
    <x v="2"/>
    <n v="4"/>
    <n v="50"/>
    <x v="7"/>
    <n v="3"/>
  </r>
  <r>
    <n v="283"/>
    <x v="0"/>
    <x v="3"/>
    <n v="8"/>
    <s v="Monday"/>
    <s v="May"/>
    <m/>
    <d v="2023-05-08T00:00:00"/>
    <s v="CUST283"/>
    <x v="1"/>
    <n v="52"/>
    <x v="0"/>
    <x v="2"/>
    <n v="1"/>
    <n v="500"/>
    <x v="3"/>
    <n v="7.5"/>
  </r>
  <r>
    <n v="284"/>
    <x v="0"/>
    <x v="1"/>
    <n v="8"/>
    <s v="Wednesday"/>
    <s v="February"/>
    <m/>
    <d v="2023-02-08T00:00:00"/>
    <s v="CUST284"/>
    <x v="0"/>
    <n v="51"/>
    <x v="0"/>
    <x v="1"/>
    <n v="4"/>
    <n v="50"/>
    <x v="7"/>
    <n v="3"/>
  </r>
  <r>
    <n v="285"/>
    <x v="0"/>
    <x v="8"/>
    <n v="15"/>
    <s v="Tuesday"/>
    <s v="August"/>
    <m/>
    <d v="2023-08-15T00:00:00"/>
    <s v="CUST285"/>
    <x v="1"/>
    <n v="51"/>
    <x v="0"/>
    <x v="2"/>
    <n v="1"/>
    <n v="25"/>
    <x v="16"/>
    <n v="0.375"/>
  </r>
  <r>
    <n v="286"/>
    <x v="0"/>
    <x v="7"/>
    <n v="9"/>
    <s v="Monday"/>
    <s v="October"/>
    <m/>
    <d v="2023-10-09T00:00:00"/>
    <s v="CUST286"/>
    <x v="0"/>
    <n v="51"/>
    <x v="0"/>
    <x v="2"/>
    <n v="2"/>
    <n v="25"/>
    <x v="5"/>
    <n v="0.75"/>
  </r>
  <r>
    <n v="287"/>
    <x v="0"/>
    <x v="1"/>
    <n v="20"/>
    <s v="Monday"/>
    <s v="February"/>
    <m/>
    <d v="2023-02-20T00:00:00"/>
    <s v="CUST287"/>
    <x v="0"/>
    <n v="51"/>
    <x v="0"/>
    <x v="1"/>
    <n v="4"/>
    <n v="25"/>
    <x v="4"/>
    <n v="1.5"/>
  </r>
  <r>
    <n v="288"/>
    <x v="0"/>
    <x v="2"/>
    <n v="26"/>
    <s v="Thursday"/>
    <s v="January"/>
    <m/>
    <d v="2023-01-26T00:00:00"/>
    <s v="CUST288"/>
    <x v="0"/>
    <n v="51"/>
    <x v="0"/>
    <x v="1"/>
    <n v="4"/>
    <n v="30"/>
    <x v="10"/>
    <n v="1.7999999999999998"/>
  </r>
  <r>
    <n v="289"/>
    <x v="0"/>
    <x v="0"/>
    <n v="30"/>
    <s v="Thursday"/>
    <s v="November"/>
    <m/>
    <d v="2023-11-30T00:00:00"/>
    <s v="CUST289"/>
    <x v="0"/>
    <n v="51"/>
    <x v="0"/>
    <x v="2"/>
    <n v="2"/>
    <n v="30"/>
    <x v="17"/>
    <n v="0.89999999999999991"/>
  </r>
  <r>
    <n v="290"/>
    <x v="0"/>
    <x v="7"/>
    <n v="4"/>
    <s v="Wednesday"/>
    <s v="October"/>
    <m/>
    <d v="2023-10-04T00:00:00"/>
    <s v="CUST290"/>
    <x v="1"/>
    <n v="51"/>
    <x v="0"/>
    <x v="0"/>
    <n v="2"/>
    <n v="300"/>
    <x v="6"/>
    <n v="9"/>
  </r>
  <r>
    <n v="291"/>
    <x v="0"/>
    <x v="2"/>
    <n v="8"/>
    <s v="Sunday"/>
    <s v="January"/>
    <m/>
    <d v="2023-01-08T00:00:00"/>
    <s v="CUST291"/>
    <x v="0"/>
    <n v="51"/>
    <x v="0"/>
    <x v="1"/>
    <n v="2"/>
    <n v="300"/>
    <x v="6"/>
    <n v="9"/>
  </r>
  <r>
    <n v="292"/>
    <x v="0"/>
    <x v="1"/>
    <n v="17"/>
    <s v="Friday"/>
    <s v="February"/>
    <m/>
    <d v="2023-02-17T00:00:00"/>
    <s v="CUST292"/>
    <x v="0"/>
    <n v="51"/>
    <x v="0"/>
    <x v="0"/>
    <n v="4"/>
    <n v="300"/>
    <x v="14"/>
    <n v="18"/>
  </r>
  <r>
    <n v="293"/>
    <x v="0"/>
    <x v="3"/>
    <n v="2"/>
    <s v="Tuesday"/>
    <s v="May"/>
    <m/>
    <d v="2023-05-02T00:00:00"/>
    <s v="CUST293"/>
    <x v="0"/>
    <n v="51"/>
    <x v="0"/>
    <x v="2"/>
    <n v="3"/>
    <n v="30"/>
    <x v="15"/>
    <n v="1.3499999999999999"/>
  </r>
  <r>
    <n v="294"/>
    <x v="0"/>
    <x v="5"/>
    <n v="27"/>
    <s v="Monday"/>
    <s v="March"/>
    <m/>
    <d v="2023-03-27T00:00:00"/>
    <s v="CUST294"/>
    <x v="1"/>
    <n v="51"/>
    <x v="0"/>
    <x v="1"/>
    <n v="3"/>
    <n v="30"/>
    <x v="15"/>
    <n v="1.3499999999999999"/>
  </r>
  <r>
    <n v="295"/>
    <x v="0"/>
    <x v="11"/>
    <n v="28"/>
    <s v="Friday"/>
    <s v="July"/>
    <m/>
    <d v="2023-07-28T00:00:00"/>
    <s v="CUST295"/>
    <x v="1"/>
    <n v="51"/>
    <x v="0"/>
    <x v="0"/>
    <n v="3"/>
    <n v="300"/>
    <x v="12"/>
    <n v="13.5"/>
  </r>
  <r>
    <n v="296"/>
    <x v="0"/>
    <x v="9"/>
    <n v="6"/>
    <s v="Wednesday"/>
    <s v="September"/>
    <m/>
    <d v="2023-09-06T00:00:00"/>
    <s v="CUST296"/>
    <x v="1"/>
    <n v="51"/>
    <x v="0"/>
    <x v="1"/>
    <n v="4"/>
    <n v="300"/>
    <x v="14"/>
    <n v="18"/>
  </r>
  <r>
    <n v="297"/>
    <x v="0"/>
    <x v="9"/>
    <n v="4"/>
    <s v="Monday"/>
    <s v="September"/>
    <m/>
    <d v="2023-09-04T00:00:00"/>
    <s v="CUST297"/>
    <x v="1"/>
    <n v="51"/>
    <x v="0"/>
    <x v="2"/>
    <n v="2"/>
    <n v="500"/>
    <x v="1"/>
    <n v="15"/>
  </r>
  <r>
    <n v="298"/>
    <x v="0"/>
    <x v="4"/>
    <n v="20"/>
    <s v="Thursday"/>
    <s v="April"/>
    <m/>
    <d v="2023-04-20T00:00:00"/>
    <s v="CUST298"/>
    <x v="0"/>
    <n v="51"/>
    <x v="0"/>
    <x v="0"/>
    <n v="4"/>
    <n v="300"/>
    <x v="14"/>
    <n v="18"/>
  </r>
  <r>
    <n v="299"/>
    <x v="0"/>
    <x v="11"/>
    <n v="25"/>
    <s v="Tuesday"/>
    <s v="July"/>
    <m/>
    <d v="2023-07-25T00:00:00"/>
    <s v="CUST299"/>
    <x v="0"/>
    <n v="51"/>
    <x v="0"/>
    <x v="2"/>
    <n v="2"/>
    <n v="500"/>
    <x v="1"/>
    <n v="15"/>
  </r>
  <r>
    <n v="300"/>
    <x v="0"/>
    <x v="2"/>
    <n v="31"/>
    <s v="Tuesday"/>
    <s v="January"/>
    <m/>
    <d v="2023-01-31T00:00:00"/>
    <s v="CUST300"/>
    <x v="1"/>
    <n v="51"/>
    <x v="0"/>
    <x v="2"/>
    <n v="4"/>
    <n v="50"/>
    <x v="7"/>
    <n v="3"/>
  </r>
  <r>
    <n v="301"/>
    <x v="0"/>
    <x v="5"/>
    <n v="26"/>
    <s v="Sunday"/>
    <s v="March"/>
    <m/>
    <d v="2023-03-26T00:00:00"/>
    <s v="CUST301"/>
    <x v="0"/>
    <n v="51"/>
    <x v="0"/>
    <x v="1"/>
    <n v="4"/>
    <n v="30"/>
    <x v="10"/>
    <n v="1.7999999999999998"/>
  </r>
  <r>
    <n v="302"/>
    <x v="0"/>
    <x v="11"/>
    <n v="14"/>
    <s v="Friday"/>
    <s v="July"/>
    <m/>
    <d v="2023-07-14T00:00:00"/>
    <s v="CUST302"/>
    <x v="0"/>
    <n v="51"/>
    <x v="0"/>
    <x v="0"/>
    <n v="2"/>
    <n v="300"/>
    <x v="6"/>
    <n v="9"/>
  </r>
  <r>
    <n v="303"/>
    <x v="0"/>
    <x v="2"/>
    <n v="2"/>
    <s v="Monday"/>
    <s v="January"/>
    <m/>
    <d v="2023-01-02T00:00:00"/>
    <s v="CUST303"/>
    <x v="0"/>
    <n v="51"/>
    <x v="0"/>
    <x v="2"/>
    <n v="3"/>
    <n v="30"/>
    <x v="15"/>
    <n v="1.3499999999999999"/>
  </r>
  <r>
    <n v="304"/>
    <x v="0"/>
    <x v="11"/>
    <n v="19"/>
    <s v="Wednesday"/>
    <s v="July"/>
    <m/>
    <d v="2023-07-19T00:00:00"/>
    <s v="CUST304"/>
    <x v="1"/>
    <n v="51"/>
    <x v="0"/>
    <x v="2"/>
    <n v="2"/>
    <n v="30"/>
    <x v="17"/>
    <n v="0.89999999999999991"/>
  </r>
  <r>
    <n v="305"/>
    <x v="0"/>
    <x v="3"/>
    <n v="16"/>
    <s v="Tuesday"/>
    <s v="May"/>
    <m/>
    <d v="2023-05-16T00:00:00"/>
    <s v="CUST305"/>
    <x v="1"/>
    <n v="51"/>
    <x v="0"/>
    <x v="0"/>
    <n v="1"/>
    <n v="30"/>
    <x v="2"/>
    <n v="0.44999999999999996"/>
  </r>
  <r>
    <n v="306"/>
    <x v="0"/>
    <x v="8"/>
    <n v="21"/>
    <s v="Monday"/>
    <s v="August"/>
    <m/>
    <d v="2023-08-21T00:00:00"/>
    <s v="CUST306"/>
    <x v="0"/>
    <n v="51"/>
    <x v="0"/>
    <x v="2"/>
    <n v="1"/>
    <n v="50"/>
    <x v="5"/>
    <n v="0.75"/>
  </r>
  <r>
    <n v="307"/>
    <x v="0"/>
    <x v="3"/>
    <n v="27"/>
    <s v="Saturday"/>
    <s v="May"/>
    <m/>
    <d v="2023-05-27T00:00:00"/>
    <s v="CUST307"/>
    <x v="1"/>
    <n v="51"/>
    <x v="0"/>
    <x v="2"/>
    <n v="2"/>
    <n v="25"/>
    <x v="5"/>
    <n v="0.75"/>
  </r>
  <r>
    <n v="308"/>
    <x v="0"/>
    <x v="8"/>
    <n v="5"/>
    <s v="Saturday"/>
    <s v="August"/>
    <m/>
    <d v="2023-08-05T00:00:00"/>
    <s v="CUST308"/>
    <x v="1"/>
    <n v="51"/>
    <x v="0"/>
    <x v="0"/>
    <n v="4"/>
    <n v="300"/>
    <x v="14"/>
    <n v="18"/>
  </r>
  <r>
    <n v="309"/>
    <x v="0"/>
    <x v="6"/>
    <n v="23"/>
    <s v="Saturday"/>
    <s v="December"/>
    <m/>
    <d v="2023-12-23T00:00:00"/>
    <s v="CUST309"/>
    <x v="1"/>
    <n v="51"/>
    <x v="0"/>
    <x v="0"/>
    <n v="1"/>
    <n v="25"/>
    <x v="16"/>
    <n v="0.375"/>
  </r>
  <r>
    <n v="310"/>
    <x v="0"/>
    <x v="7"/>
    <n v="12"/>
    <s v="Thursday"/>
    <s v="October"/>
    <m/>
    <d v="2023-10-12T00:00:00"/>
    <s v="CUST310"/>
    <x v="1"/>
    <n v="51"/>
    <x v="0"/>
    <x v="0"/>
    <n v="1"/>
    <n v="25"/>
    <x v="16"/>
    <n v="0.375"/>
  </r>
  <r>
    <n v="311"/>
    <x v="0"/>
    <x v="6"/>
    <n v="5"/>
    <s v="Tuesday"/>
    <s v="December"/>
    <m/>
    <d v="2023-12-05T00:00:00"/>
    <s v="CUST311"/>
    <x v="1"/>
    <n v="51"/>
    <x v="0"/>
    <x v="0"/>
    <n v="4"/>
    <n v="25"/>
    <x v="4"/>
    <n v="1.5"/>
  </r>
  <r>
    <n v="312"/>
    <x v="0"/>
    <x v="9"/>
    <n v="7"/>
    <s v="Thursday"/>
    <s v="September"/>
    <m/>
    <d v="2023-09-07T00:00:00"/>
    <s v="CUST312"/>
    <x v="0"/>
    <n v="51"/>
    <x v="0"/>
    <x v="1"/>
    <n v="4"/>
    <n v="30"/>
    <x v="10"/>
    <n v="1.7999999999999998"/>
  </r>
  <r>
    <n v="313"/>
    <x v="0"/>
    <x v="5"/>
    <n v="21"/>
    <s v="Tuesday"/>
    <s v="March"/>
    <m/>
    <d v="2023-03-21T00:00:00"/>
    <s v="CUST313"/>
    <x v="1"/>
    <n v="51"/>
    <x v="0"/>
    <x v="0"/>
    <n v="3"/>
    <n v="500"/>
    <x v="9"/>
    <n v="22.5"/>
  </r>
  <r>
    <n v="314"/>
    <x v="0"/>
    <x v="4"/>
    <n v="8"/>
    <s v="Saturday"/>
    <s v="April"/>
    <m/>
    <d v="2023-04-08T00:00:00"/>
    <s v="CUST314"/>
    <x v="0"/>
    <n v="50"/>
    <x v="0"/>
    <x v="1"/>
    <n v="4"/>
    <n v="30"/>
    <x v="10"/>
    <n v="1.7999999999999998"/>
  </r>
  <r>
    <n v="315"/>
    <x v="0"/>
    <x v="10"/>
    <n v="1"/>
    <s v="Thursday"/>
    <s v="June"/>
    <m/>
    <d v="2023-06-01T00:00:00"/>
    <s v="CUST315"/>
    <x v="0"/>
    <n v="50"/>
    <x v="0"/>
    <x v="1"/>
    <n v="2"/>
    <n v="30"/>
    <x v="17"/>
    <n v="0.89999999999999991"/>
  </r>
  <r>
    <n v="316"/>
    <x v="0"/>
    <x v="4"/>
    <n v="22"/>
    <s v="Saturday"/>
    <s v="April"/>
    <m/>
    <d v="2023-04-22T00:00:00"/>
    <s v="CUST316"/>
    <x v="1"/>
    <n v="50"/>
    <x v="0"/>
    <x v="1"/>
    <n v="2"/>
    <n v="25"/>
    <x v="5"/>
    <n v="0.75"/>
  </r>
  <r>
    <n v="317"/>
    <x v="0"/>
    <x v="2"/>
    <n v="30"/>
    <s v="Monday"/>
    <s v="January"/>
    <m/>
    <d v="2023-01-30T00:00:00"/>
    <s v="CUST317"/>
    <x v="0"/>
    <n v="50"/>
    <x v="0"/>
    <x v="2"/>
    <n v="3"/>
    <n v="30"/>
    <x v="15"/>
    <n v="1.3499999999999999"/>
  </r>
  <r>
    <n v="318"/>
    <x v="0"/>
    <x v="7"/>
    <n v="24"/>
    <s v="Tuesday"/>
    <s v="October"/>
    <m/>
    <d v="2023-10-24T00:00:00"/>
    <s v="CUST318"/>
    <x v="0"/>
    <n v="50"/>
    <x v="0"/>
    <x v="1"/>
    <n v="1"/>
    <n v="25"/>
    <x v="16"/>
    <n v="0.375"/>
  </r>
  <r>
    <n v="319"/>
    <x v="0"/>
    <x v="7"/>
    <n v="5"/>
    <s v="Thursday"/>
    <s v="October"/>
    <m/>
    <d v="2023-10-05T00:00:00"/>
    <s v="CUST319"/>
    <x v="0"/>
    <n v="50"/>
    <x v="0"/>
    <x v="1"/>
    <n v="1"/>
    <n v="500"/>
    <x v="3"/>
    <n v="7.5"/>
  </r>
  <r>
    <n v="320"/>
    <x v="0"/>
    <x v="1"/>
    <n v="1"/>
    <s v="Wednesday"/>
    <s v="February"/>
    <m/>
    <d v="2023-02-01T00:00:00"/>
    <s v="CUST320"/>
    <x v="1"/>
    <n v="50"/>
    <x v="0"/>
    <x v="2"/>
    <n v="4"/>
    <n v="300"/>
    <x v="14"/>
    <n v="18"/>
  </r>
  <r>
    <n v="321"/>
    <x v="0"/>
    <x v="10"/>
    <n v="10"/>
    <s v="Saturday"/>
    <s v="June"/>
    <m/>
    <d v="2023-06-10T00:00:00"/>
    <s v="CUST321"/>
    <x v="1"/>
    <n v="50"/>
    <x v="0"/>
    <x v="2"/>
    <n v="2"/>
    <n v="25"/>
    <x v="5"/>
    <n v="0.75"/>
  </r>
  <r>
    <n v="322"/>
    <x v="0"/>
    <x v="2"/>
    <n v="30"/>
    <s v="Monday"/>
    <s v="January"/>
    <m/>
    <d v="2023-01-30T00:00:00"/>
    <s v="CUST322"/>
    <x v="0"/>
    <n v="50"/>
    <x v="0"/>
    <x v="2"/>
    <n v="1"/>
    <n v="500"/>
    <x v="3"/>
    <n v="7.5"/>
  </r>
  <r>
    <n v="323"/>
    <x v="0"/>
    <x v="2"/>
    <n v="26"/>
    <s v="Thursday"/>
    <s v="January"/>
    <m/>
    <d v="2023-01-26T00:00:00"/>
    <s v="CUST323"/>
    <x v="1"/>
    <n v="50"/>
    <x v="0"/>
    <x v="0"/>
    <n v="3"/>
    <n v="300"/>
    <x v="12"/>
    <n v="13.5"/>
  </r>
  <r>
    <n v="324"/>
    <x v="0"/>
    <x v="7"/>
    <n v="27"/>
    <s v="Friday"/>
    <s v="October"/>
    <m/>
    <d v="2023-10-27T00:00:00"/>
    <s v="CUST324"/>
    <x v="1"/>
    <n v="50"/>
    <x v="0"/>
    <x v="2"/>
    <n v="3"/>
    <n v="50"/>
    <x v="0"/>
    <n v="2.25"/>
  </r>
  <r>
    <n v="325"/>
    <x v="0"/>
    <x v="9"/>
    <n v="2"/>
    <s v="Saturday"/>
    <s v="September"/>
    <m/>
    <d v="2023-09-02T00:00:00"/>
    <s v="CUST325"/>
    <x v="1"/>
    <n v="50"/>
    <x v="0"/>
    <x v="2"/>
    <n v="2"/>
    <n v="25"/>
    <x v="5"/>
    <n v="0.75"/>
  </r>
  <r>
    <n v="326"/>
    <x v="0"/>
    <x v="9"/>
    <n v="15"/>
    <s v="Friday"/>
    <s v="September"/>
    <m/>
    <d v="2023-09-15T00:00:00"/>
    <s v="CUST326"/>
    <x v="1"/>
    <n v="50"/>
    <x v="0"/>
    <x v="1"/>
    <n v="3"/>
    <n v="25"/>
    <x v="8"/>
    <n v="1.125"/>
  </r>
  <r>
    <n v="327"/>
    <x v="0"/>
    <x v="9"/>
    <n v="29"/>
    <s v="Friday"/>
    <s v="September"/>
    <m/>
    <d v="2023-09-29T00:00:00"/>
    <s v="CUST327"/>
    <x v="0"/>
    <n v="50"/>
    <x v="0"/>
    <x v="2"/>
    <n v="3"/>
    <n v="50"/>
    <x v="0"/>
    <n v="2.25"/>
  </r>
  <r>
    <n v="328"/>
    <x v="0"/>
    <x v="5"/>
    <n v="22"/>
    <s v="Wednesday"/>
    <s v="March"/>
    <m/>
    <d v="2023-03-22T00:00:00"/>
    <s v="CUST328"/>
    <x v="0"/>
    <n v="50"/>
    <x v="0"/>
    <x v="0"/>
    <n v="2"/>
    <n v="50"/>
    <x v="4"/>
    <n v="1.5"/>
  </r>
  <r>
    <n v="329"/>
    <x v="0"/>
    <x v="2"/>
    <n v="30"/>
    <s v="Monday"/>
    <s v="January"/>
    <m/>
    <d v="2023-01-30T00:00:00"/>
    <s v="CUST329"/>
    <x v="1"/>
    <n v="50"/>
    <x v="0"/>
    <x v="2"/>
    <n v="4"/>
    <n v="25"/>
    <x v="4"/>
    <n v="1.5"/>
  </r>
  <r>
    <n v="330"/>
    <x v="0"/>
    <x v="9"/>
    <n v="18"/>
    <s v="Monday"/>
    <s v="September"/>
    <m/>
    <d v="2023-09-18T00:00:00"/>
    <s v="CUST330"/>
    <x v="1"/>
    <n v="50"/>
    <x v="0"/>
    <x v="0"/>
    <n v="4"/>
    <n v="50"/>
    <x v="7"/>
    <n v="3"/>
  </r>
  <r>
    <n v="331"/>
    <x v="0"/>
    <x v="1"/>
    <n v="11"/>
    <s v="Saturday"/>
    <s v="February"/>
    <m/>
    <d v="2023-02-11T00:00:00"/>
    <s v="CUST331"/>
    <x v="0"/>
    <n v="50"/>
    <x v="0"/>
    <x v="2"/>
    <n v="3"/>
    <n v="30"/>
    <x v="15"/>
    <n v="1.3499999999999999"/>
  </r>
  <r>
    <n v="332"/>
    <x v="0"/>
    <x v="4"/>
    <n v="6"/>
    <s v="Thursday"/>
    <s v="April"/>
    <m/>
    <d v="2023-04-06T00:00:00"/>
    <s v="CUST332"/>
    <x v="0"/>
    <n v="50"/>
    <x v="0"/>
    <x v="2"/>
    <n v="4"/>
    <n v="300"/>
    <x v="14"/>
    <n v="18"/>
  </r>
  <r>
    <n v="333"/>
    <x v="0"/>
    <x v="1"/>
    <n v="5"/>
    <s v="Sunday"/>
    <s v="February"/>
    <m/>
    <d v="2023-02-05T00:00:00"/>
    <s v="CUST333"/>
    <x v="1"/>
    <n v="50"/>
    <x v="0"/>
    <x v="2"/>
    <n v="4"/>
    <n v="300"/>
    <x v="14"/>
    <n v="18"/>
  </r>
  <r>
    <n v="334"/>
    <x v="0"/>
    <x v="0"/>
    <n v="1"/>
    <s v="Wednesday"/>
    <s v="November"/>
    <m/>
    <d v="2023-11-01T00:00:00"/>
    <s v="CUST334"/>
    <x v="0"/>
    <n v="50"/>
    <x v="0"/>
    <x v="2"/>
    <n v="3"/>
    <n v="300"/>
    <x v="12"/>
    <n v="13.5"/>
  </r>
  <r>
    <n v="335"/>
    <x v="0"/>
    <x v="1"/>
    <n v="4"/>
    <s v="Saturday"/>
    <s v="February"/>
    <m/>
    <d v="2023-02-04T00:00:00"/>
    <s v="CUST335"/>
    <x v="1"/>
    <n v="50"/>
    <x v="0"/>
    <x v="0"/>
    <n v="4"/>
    <n v="30"/>
    <x v="10"/>
    <n v="1.7999999999999998"/>
  </r>
  <r>
    <n v="336"/>
    <x v="0"/>
    <x v="6"/>
    <n v="12"/>
    <s v="Tuesday"/>
    <s v="December"/>
    <m/>
    <d v="2023-12-12T00:00:00"/>
    <s v="CUST336"/>
    <x v="1"/>
    <n v="50"/>
    <x v="0"/>
    <x v="0"/>
    <n v="3"/>
    <n v="50"/>
    <x v="0"/>
    <n v="2.25"/>
  </r>
  <r>
    <n v="337"/>
    <x v="0"/>
    <x v="3"/>
    <n v="1"/>
    <s v="Monday"/>
    <s v="May"/>
    <m/>
    <d v="2023-05-01T00:00:00"/>
    <s v="CUST337"/>
    <x v="0"/>
    <n v="49"/>
    <x v="1"/>
    <x v="1"/>
    <n v="1"/>
    <n v="500"/>
    <x v="3"/>
    <n v="7.5"/>
  </r>
  <r>
    <n v="338"/>
    <x v="0"/>
    <x v="11"/>
    <n v="26"/>
    <s v="Wednesday"/>
    <s v="July"/>
    <m/>
    <d v="2023-07-26T00:00:00"/>
    <s v="CUST338"/>
    <x v="0"/>
    <n v="49"/>
    <x v="1"/>
    <x v="0"/>
    <n v="2"/>
    <n v="50"/>
    <x v="4"/>
    <n v="1.5"/>
  </r>
  <r>
    <n v="339"/>
    <x v="0"/>
    <x v="5"/>
    <n v="3"/>
    <s v="Friday"/>
    <s v="March"/>
    <m/>
    <d v="2023-03-03T00:00:00"/>
    <s v="CUST339"/>
    <x v="1"/>
    <n v="49"/>
    <x v="1"/>
    <x v="2"/>
    <n v="2"/>
    <n v="25"/>
    <x v="5"/>
    <n v="0.75"/>
  </r>
  <r>
    <n v="340"/>
    <x v="0"/>
    <x v="7"/>
    <n v="19"/>
    <s v="Thursday"/>
    <s v="October"/>
    <m/>
    <d v="2023-10-19T00:00:00"/>
    <s v="CUST340"/>
    <x v="1"/>
    <n v="49"/>
    <x v="1"/>
    <x v="1"/>
    <n v="4"/>
    <n v="300"/>
    <x v="14"/>
    <n v="18"/>
  </r>
  <r>
    <n v="341"/>
    <x v="0"/>
    <x v="3"/>
    <n v="7"/>
    <s v="Sunday"/>
    <s v="May"/>
    <m/>
    <d v="2023-05-07T00:00:00"/>
    <s v="CUST341"/>
    <x v="0"/>
    <n v="49"/>
    <x v="1"/>
    <x v="1"/>
    <n v="4"/>
    <n v="50"/>
    <x v="7"/>
    <n v="3"/>
  </r>
  <r>
    <n v="342"/>
    <x v="0"/>
    <x v="7"/>
    <n v="24"/>
    <s v="Tuesday"/>
    <s v="October"/>
    <m/>
    <d v="2023-10-24T00:00:00"/>
    <s v="CUST342"/>
    <x v="1"/>
    <n v="49"/>
    <x v="1"/>
    <x v="1"/>
    <n v="4"/>
    <n v="500"/>
    <x v="11"/>
    <n v="30"/>
  </r>
  <r>
    <n v="343"/>
    <x v="0"/>
    <x v="0"/>
    <n v="1"/>
    <s v="Wednesday"/>
    <s v="November"/>
    <m/>
    <d v="2023-11-01T00:00:00"/>
    <s v="CUST343"/>
    <x v="0"/>
    <n v="49"/>
    <x v="1"/>
    <x v="2"/>
    <n v="2"/>
    <n v="25"/>
    <x v="5"/>
    <n v="0.75"/>
  </r>
  <r>
    <n v="344"/>
    <x v="0"/>
    <x v="2"/>
    <n v="21"/>
    <s v="Saturday"/>
    <s v="January"/>
    <m/>
    <d v="2023-01-21T00:00:00"/>
    <s v="CUST344"/>
    <x v="1"/>
    <n v="49"/>
    <x v="1"/>
    <x v="0"/>
    <n v="1"/>
    <n v="30"/>
    <x v="2"/>
    <n v="0.44999999999999996"/>
  </r>
  <r>
    <n v="345"/>
    <x v="0"/>
    <x v="0"/>
    <n v="14"/>
    <s v="Tuesday"/>
    <s v="November"/>
    <m/>
    <d v="2023-11-14T00:00:00"/>
    <s v="CUST345"/>
    <x v="0"/>
    <n v="49"/>
    <x v="1"/>
    <x v="2"/>
    <n v="1"/>
    <n v="30"/>
    <x v="2"/>
    <n v="0.44999999999999996"/>
  </r>
  <r>
    <n v="346"/>
    <x v="0"/>
    <x v="1"/>
    <n v="11"/>
    <s v="Saturday"/>
    <s v="February"/>
    <m/>
    <d v="2023-02-11T00:00:00"/>
    <s v="CUST346"/>
    <x v="0"/>
    <n v="49"/>
    <x v="1"/>
    <x v="1"/>
    <n v="2"/>
    <n v="500"/>
    <x v="1"/>
    <n v="15"/>
  </r>
  <r>
    <n v="347"/>
    <x v="0"/>
    <x v="8"/>
    <n v="3"/>
    <s v="Thursday"/>
    <s v="August"/>
    <m/>
    <d v="2023-08-03T00:00:00"/>
    <s v="CUST347"/>
    <x v="0"/>
    <n v="49"/>
    <x v="1"/>
    <x v="2"/>
    <n v="1"/>
    <n v="25"/>
    <x v="16"/>
    <n v="0.375"/>
  </r>
  <r>
    <n v="348"/>
    <x v="0"/>
    <x v="6"/>
    <n v="3"/>
    <s v="Sunday"/>
    <s v="December"/>
    <m/>
    <d v="2023-12-03T00:00:00"/>
    <s v="CUST348"/>
    <x v="1"/>
    <n v="49"/>
    <x v="1"/>
    <x v="2"/>
    <n v="2"/>
    <n v="300"/>
    <x v="6"/>
    <n v="9"/>
  </r>
  <r>
    <n v="349"/>
    <x v="0"/>
    <x v="7"/>
    <n v="26"/>
    <s v="Thursday"/>
    <s v="October"/>
    <m/>
    <d v="2023-10-26T00:00:00"/>
    <s v="CUST349"/>
    <x v="1"/>
    <n v="49"/>
    <x v="1"/>
    <x v="0"/>
    <n v="1"/>
    <n v="50"/>
    <x v="5"/>
    <n v="0.75"/>
  </r>
  <r>
    <n v="350"/>
    <x v="0"/>
    <x v="7"/>
    <n v="17"/>
    <s v="Tuesday"/>
    <s v="October"/>
    <m/>
    <d v="2023-10-17T00:00:00"/>
    <s v="CUST350"/>
    <x v="0"/>
    <n v="49"/>
    <x v="1"/>
    <x v="0"/>
    <n v="3"/>
    <n v="25"/>
    <x v="8"/>
    <n v="1.125"/>
  </r>
  <r>
    <n v="351"/>
    <x v="0"/>
    <x v="9"/>
    <n v="25"/>
    <s v="Monday"/>
    <s v="September"/>
    <m/>
    <d v="2023-09-25T00:00:00"/>
    <s v="CUST351"/>
    <x v="1"/>
    <n v="49"/>
    <x v="1"/>
    <x v="1"/>
    <n v="3"/>
    <n v="30"/>
    <x v="15"/>
    <n v="1.3499999999999999"/>
  </r>
  <r>
    <n v="352"/>
    <x v="0"/>
    <x v="10"/>
    <n v="11"/>
    <s v="Sunday"/>
    <s v="June"/>
    <m/>
    <d v="2023-06-11T00:00:00"/>
    <s v="CUST352"/>
    <x v="0"/>
    <n v="49"/>
    <x v="1"/>
    <x v="2"/>
    <n v="2"/>
    <n v="500"/>
    <x v="1"/>
    <n v="15"/>
  </r>
  <r>
    <n v="353"/>
    <x v="0"/>
    <x v="3"/>
    <n v="14"/>
    <s v="Sunday"/>
    <s v="May"/>
    <m/>
    <d v="2023-05-14T00:00:00"/>
    <s v="CUST353"/>
    <x v="0"/>
    <n v="49"/>
    <x v="1"/>
    <x v="2"/>
    <n v="1"/>
    <n v="500"/>
    <x v="3"/>
    <n v="7.5"/>
  </r>
  <r>
    <n v="354"/>
    <x v="0"/>
    <x v="4"/>
    <n v="15"/>
    <s v="Saturday"/>
    <s v="April"/>
    <m/>
    <d v="2023-04-15T00:00:00"/>
    <s v="CUST354"/>
    <x v="1"/>
    <n v="49"/>
    <x v="1"/>
    <x v="0"/>
    <n v="4"/>
    <n v="50"/>
    <x v="7"/>
    <n v="3"/>
  </r>
  <r>
    <n v="355"/>
    <x v="0"/>
    <x v="6"/>
    <n v="9"/>
    <s v="Saturday"/>
    <s v="December"/>
    <m/>
    <d v="2023-12-09T00:00:00"/>
    <s v="CUST355"/>
    <x v="1"/>
    <n v="49"/>
    <x v="1"/>
    <x v="2"/>
    <n v="1"/>
    <n v="500"/>
    <x v="3"/>
    <n v="7.5"/>
  </r>
  <r>
    <n v="356"/>
    <x v="0"/>
    <x v="10"/>
    <n v="10"/>
    <s v="Saturday"/>
    <s v="June"/>
    <m/>
    <d v="2023-06-10T00:00:00"/>
    <s v="CUST356"/>
    <x v="0"/>
    <n v="48"/>
    <x v="1"/>
    <x v="2"/>
    <n v="3"/>
    <n v="500"/>
    <x v="9"/>
    <n v="22.5"/>
  </r>
  <r>
    <n v="357"/>
    <x v="0"/>
    <x v="3"/>
    <n v="3"/>
    <s v="Wednesday"/>
    <s v="May"/>
    <m/>
    <d v="2023-05-03T00:00:00"/>
    <s v="CUST357"/>
    <x v="1"/>
    <n v="48"/>
    <x v="1"/>
    <x v="2"/>
    <n v="3"/>
    <n v="25"/>
    <x v="8"/>
    <n v="1.125"/>
  </r>
  <r>
    <n v="358"/>
    <x v="0"/>
    <x v="3"/>
    <n v="16"/>
    <s v="Tuesday"/>
    <s v="May"/>
    <m/>
    <d v="2023-05-16T00:00:00"/>
    <s v="CUST358"/>
    <x v="1"/>
    <n v="48"/>
    <x v="1"/>
    <x v="0"/>
    <n v="1"/>
    <n v="300"/>
    <x v="13"/>
    <n v="4.5"/>
  </r>
  <r>
    <n v="359"/>
    <x v="0"/>
    <x v="11"/>
    <n v="22"/>
    <s v="Saturday"/>
    <s v="July"/>
    <m/>
    <d v="2023-07-22T00:00:00"/>
    <s v="CUST359"/>
    <x v="0"/>
    <n v="48"/>
    <x v="1"/>
    <x v="1"/>
    <n v="1"/>
    <n v="50"/>
    <x v="5"/>
    <n v="0.75"/>
  </r>
  <r>
    <n v="360"/>
    <x v="0"/>
    <x v="5"/>
    <n v="9"/>
    <s v="Thursday"/>
    <s v="March"/>
    <m/>
    <d v="2023-03-09T00:00:00"/>
    <s v="CUST360"/>
    <x v="0"/>
    <n v="48"/>
    <x v="1"/>
    <x v="1"/>
    <n v="4"/>
    <n v="25"/>
    <x v="4"/>
    <n v="1.5"/>
  </r>
  <r>
    <n v="361"/>
    <x v="0"/>
    <x v="6"/>
    <n v="10"/>
    <s v="Sunday"/>
    <s v="December"/>
    <m/>
    <d v="2023-12-10T00:00:00"/>
    <s v="CUST361"/>
    <x v="1"/>
    <n v="48"/>
    <x v="1"/>
    <x v="2"/>
    <n v="4"/>
    <n v="300"/>
    <x v="14"/>
    <n v="18"/>
  </r>
  <r>
    <n v="362"/>
    <x v="0"/>
    <x v="0"/>
    <n v="27"/>
    <s v="Monday"/>
    <s v="November"/>
    <m/>
    <d v="2023-11-27T00:00:00"/>
    <s v="CUST362"/>
    <x v="0"/>
    <n v="48"/>
    <x v="1"/>
    <x v="1"/>
    <n v="1"/>
    <n v="25"/>
    <x v="16"/>
    <n v="0.375"/>
  </r>
  <r>
    <n v="363"/>
    <x v="0"/>
    <x v="10"/>
    <n v="3"/>
    <s v="Saturday"/>
    <s v="June"/>
    <m/>
    <d v="2023-06-03T00:00:00"/>
    <s v="CUST363"/>
    <x v="0"/>
    <n v="48"/>
    <x v="1"/>
    <x v="0"/>
    <n v="1"/>
    <n v="25"/>
    <x v="16"/>
    <n v="0.375"/>
  </r>
  <r>
    <n v="364"/>
    <x v="0"/>
    <x v="8"/>
    <n v="23"/>
    <s v="Wednesday"/>
    <s v="August"/>
    <m/>
    <d v="2023-08-23T00:00:00"/>
    <s v="CUST364"/>
    <x v="1"/>
    <n v="48"/>
    <x v="1"/>
    <x v="0"/>
    <n v="1"/>
    <n v="500"/>
    <x v="3"/>
    <n v="7.5"/>
  </r>
  <r>
    <n v="365"/>
    <x v="0"/>
    <x v="10"/>
    <n v="11"/>
    <s v="Sunday"/>
    <s v="June"/>
    <m/>
    <d v="2023-06-11T00:00:00"/>
    <s v="CUST365"/>
    <x v="0"/>
    <n v="48"/>
    <x v="1"/>
    <x v="1"/>
    <n v="1"/>
    <n v="300"/>
    <x v="13"/>
    <n v="4.5"/>
  </r>
  <r>
    <n v="366"/>
    <x v="0"/>
    <x v="1"/>
    <n v="7"/>
    <s v="Tuesday"/>
    <s v="February"/>
    <m/>
    <d v="2023-02-07T00:00:00"/>
    <s v="CUST366"/>
    <x v="0"/>
    <n v="48"/>
    <x v="1"/>
    <x v="1"/>
    <n v="2"/>
    <n v="50"/>
    <x v="4"/>
    <n v="1.5"/>
  </r>
  <r>
    <n v="367"/>
    <x v="0"/>
    <x v="2"/>
    <n v="5"/>
    <s v="Thursday"/>
    <s v="January"/>
    <m/>
    <d v="2023-01-05T00:00:00"/>
    <s v="CUST367"/>
    <x v="1"/>
    <n v="48"/>
    <x v="1"/>
    <x v="2"/>
    <n v="1"/>
    <n v="50"/>
    <x v="5"/>
    <n v="0.75"/>
  </r>
  <r>
    <n v="368"/>
    <x v="0"/>
    <x v="8"/>
    <n v="23"/>
    <s v="Wednesday"/>
    <s v="August"/>
    <m/>
    <d v="2023-08-23T00:00:00"/>
    <s v="CUST368"/>
    <x v="1"/>
    <n v="48"/>
    <x v="1"/>
    <x v="1"/>
    <n v="4"/>
    <n v="300"/>
    <x v="14"/>
    <n v="18"/>
  </r>
  <r>
    <n v="369"/>
    <x v="0"/>
    <x v="0"/>
    <n v="15"/>
    <s v="Wednesday"/>
    <s v="November"/>
    <m/>
    <d v="2023-11-15T00:00:00"/>
    <s v="CUST369"/>
    <x v="0"/>
    <n v="48"/>
    <x v="1"/>
    <x v="2"/>
    <n v="3"/>
    <n v="500"/>
    <x v="9"/>
    <n v="22.5"/>
  </r>
  <r>
    <n v="370"/>
    <x v="0"/>
    <x v="7"/>
    <n v="16"/>
    <s v="Monday"/>
    <s v="October"/>
    <m/>
    <d v="2023-10-16T00:00:00"/>
    <s v="CUST370"/>
    <x v="0"/>
    <n v="48"/>
    <x v="1"/>
    <x v="2"/>
    <n v="2"/>
    <n v="30"/>
    <x v="17"/>
    <n v="0.89999999999999991"/>
  </r>
  <r>
    <n v="371"/>
    <x v="0"/>
    <x v="1"/>
    <n v="21"/>
    <s v="Tuesday"/>
    <s v="February"/>
    <m/>
    <d v="2023-02-21T00:00:00"/>
    <s v="CUST371"/>
    <x v="1"/>
    <n v="48"/>
    <x v="1"/>
    <x v="0"/>
    <n v="1"/>
    <n v="25"/>
    <x v="16"/>
    <n v="0.375"/>
  </r>
  <r>
    <n v="372"/>
    <x v="0"/>
    <x v="1"/>
    <n v="7"/>
    <s v="Tuesday"/>
    <s v="February"/>
    <m/>
    <d v="2023-02-07T00:00:00"/>
    <s v="CUST372"/>
    <x v="1"/>
    <n v="48"/>
    <x v="1"/>
    <x v="0"/>
    <n v="3"/>
    <n v="500"/>
    <x v="9"/>
    <n v="22.5"/>
  </r>
  <r>
    <n v="373"/>
    <x v="0"/>
    <x v="7"/>
    <n v="3"/>
    <s v="Tuesday"/>
    <s v="October"/>
    <m/>
    <d v="2023-10-03T00:00:00"/>
    <s v="CUST373"/>
    <x v="1"/>
    <n v="48"/>
    <x v="1"/>
    <x v="0"/>
    <n v="2"/>
    <n v="300"/>
    <x v="6"/>
    <n v="9"/>
  </r>
  <r>
    <n v="374"/>
    <x v="0"/>
    <x v="4"/>
    <n v="20"/>
    <s v="Thursday"/>
    <s v="April"/>
    <m/>
    <d v="2023-04-20T00:00:00"/>
    <s v="CUST374"/>
    <x v="1"/>
    <n v="47"/>
    <x v="1"/>
    <x v="0"/>
    <n v="3"/>
    <n v="25"/>
    <x v="8"/>
    <n v="1.125"/>
  </r>
  <r>
    <n v="375"/>
    <x v="0"/>
    <x v="9"/>
    <n v="17"/>
    <s v="Sunday"/>
    <s v="September"/>
    <m/>
    <d v="2023-09-17T00:00:00"/>
    <s v="CUST375"/>
    <x v="0"/>
    <n v="47"/>
    <x v="1"/>
    <x v="1"/>
    <n v="1"/>
    <n v="50"/>
    <x v="5"/>
    <n v="0.75"/>
  </r>
  <r>
    <n v="376"/>
    <x v="0"/>
    <x v="3"/>
    <n v="16"/>
    <s v="Tuesday"/>
    <s v="May"/>
    <m/>
    <d v="2023-05-16T00:00:00"/>
    <s v="CUST376"/>
    <x v="1"/>
    <n v="47"/>
    <x v="1"/>
    <x v="0"/>
    <n v="1"/>
    <n v="30"/>
    <x v="2"/>
    <n v="0.44999999999999996"/>
  </r>
  <r>
    <n v="377"/>
    <x v="0"/>
    <x v="5"/>
    <n v="9"/>
    <s v="Thursday"/>
    <s v="March"/>
    <m/>
    <d v="2023-03-09T00:00:00"/>
    <s v="CUST377"/>
    <x v="1"/>
    <n v="47"/>
    <x v="1"/>
    <x v="1"/>
    <n v="4"/>
    <n v="50"/>
    <x v="7"/>
    <n v="3"/>
  </r>
  <r>
    <n v="378"/>
    <x v="0"/>
    <x v="10"/>
    <n v="28"/>
    <s v="Wednesday"/>
    <s v="June"/>
    <m/>
    <d v="2023-06-28T00:00:00"/>
    <s v="CUST378"/>
    <x v="0"/>
    <n v="47"/>
    <x v="1"/>
    <x v="0"/>
    <n v="1"/>
    <n v="300"/>
    <x v="13"/>
    <n v="4.5"/>
  </r>
  <r>
    <n v="379"/>
    <x v="0"/>
    <x v="1"/>
    <n v="5"/>
    <s v="Sunday"/>
    <s v="February"/>
    <m/>
    <d v="2023-02-05T00:00:00"/>
    <s v="CUST379"/>
    <x v="1"/>
    <n v="47"/>
    <x v="1"/>
    <x v="1"/>
    <n v="1"/>
    <n v="25"/>
    <x v="16"/>
    <n v="0.375"/>
  </r>
  <r>
    <n v="380"/>
    <x v="0"/>
    <x v="3"/>
    <n v="6"/>
    <s v="Saturday"/>
    <s v="May"/>
    <m/>
    <d v="2023-05-06T00:00:00"/>
    <s v="CUST380"/>
    <x v="0"/>
    <n v="47"/>
    <x v="1"/>
    <x v="2"/>
    <n v="2"/>
    <n v="300"/>
    <x v="6"/>
    <n v="9"/>
  </r>
  <r>
    <n v="381"/>
    <x v="0"/>
    <x v="11"/>
    <n v="9"/>
    <s v="Sunday"/>
    <s v="July"/>
    <m/>
    <d v="2023-07-09T00:00:00"/>
    <s v="CUST381"/>
    <x v="1"/>
    <n v="47"/>
    <x v="1"/>
    <x v="1"/>
    <n v="4"/>
    <n v="25"/>
    <x v="4"/>
    <n v="1.5"/>
  </r>
  <r>
    <n v="382"/>
    <x v="0"/>
    <x v="3"/>
    <n v="26"/>
    <s v="Friday"/>
    <s v="May"/>
    <m/>
    <d v="2023-05-26T00:00:00"/>
    <s v="CUST382"/>
    <x v="1"/>
    <n v="47"/>
    <x v="1"/>
    <x v="1"/>
    <n v="2"/>
    <n v="500"/>
    <x v="1"/>
    <n v="15"/>
  </r>
  <r>
    <n v="383"/>
    <x v="0"/>
    <x v="5"/>
    <n v="22"/>
    <s v="Wednesday"/>
    <s v="March"/>
    <m/>
    <d v="2023-03-22T00:00:00"/>
    <s v="CUST383"/>
    <x v="1"/>
    <n v="47"/>
    <x v="1"/>
    <x v="0"/>
    <n v="3"/>
    <n v="30"/>
    <x v="15"/>
    <n v="1.3499999999999999"/>
  </r>
  <r>
    <n v="384"/>
    <x v="0"/>
    <x v="8"/>
    <n v="13"/>
    <s v="Sunday"/>
    <s v="August"/>
    <m/>
    <d v="2023-08-13T00:00:00"/>
    <s v="CUST384"/>
    <x v="0"/>
    <n v="47"/>
    <x v="1"/>
    <x v="1"/>
    <n v="1"/>
    <n v="500"/>
    <x v="3"/>
    <n v="7.5"/>
  </r>
  <r>
    <n v="385"/>
    <x v="0"/>
    <x v="7"/>
    <n v="6"/>
    <s v="Friday"/>
    <s v="October"/>
    <m/>
    <d v="2023-10-06T00:00:00"/>
    <s v="CUST385"/>
    <x v="0"/>
    <n v="47"/>
    <x v="1"/>
    <x v="2"/>
    <n v="3"/>
    <n v="500"/>
    <x v="9"/>
    <n v="22.5"/>
  </r>
  <r>
    <n v="386"/>
    <x v="0"/>
    <x v="6"/>
    <n v="27"/>
    <s v="Wednesday"/>
    <s v="December"/>
    <m/>
    <d v="2023-12-27T00:00:00"/>
    <s v="CUST386"/>
    <x v="1"/>
    <n v="47"/>
    <x v="1"/>
    <x v="2"/>
    <n v="2"/>
    <n v="300"/>
    <x v="6"/>
    <n v="9"/>
  </r>
  <r>
    <n v="387"/>
    <x v="0"/>
    <x v="10"/>
    <n v="4"/>
    <s v="Sunday"/>
    <s v="June"/>
    <m/>
    <d v="2023-06-04T00:00:00"/>
    <s v="CUST387"/>
    <x v="0"/>
    <n v="47"/>
    <x v="1"/>
    <x v="0"/>
    <n v="1"/>
    <n v="30"/>
    <x v="2"/>
    <n v="0.44999999999999996"/>
  </r>
  <r>
    <n v="388"/>
    <x v="0"/>
    <x v="0"/>
    <n v="10"/>
    <s v="Friday"/>
    <s v="November"/>
    <m/>
    <d v="2023-11-10T00:00:00"/>
    <s v="CUST388"/>
    <x v="0"/>
    <n v="47"/>
    <x v="1"/>
    <x v="2"/>
    <n v="1"/>
    <n v="25"/>
    <x v="16"/>
    <n v="0.375"/>
  </r>
  <r>
    <n v="389"/>
    <x v="0"/>
    <x v="6"/>
    <n v="1"/>
    <s v="Friday"/>
    <s v="December"/>
    <m/>
    <d v="2023-12-01T00:00:00"/>
    <s v="CUST389"/>
    <x v="0"/>
    <n v="47"/>
    <x v="1"/>
    <x v="1"/>
    <n v="2"/>
    <n v="25"/>
    <x v="5"/>
    <n v="0.75"/>
  </r>
  <r>
    <n v="390"/>
    <x v="0"/>
    <x v="9"/>
    <n v="28"/>
    <s v="Thursday"/>
    <s v="September"/>
    <m/>
    <d v="2023-09-28T00:00:00"/>
    <s v="CUST390"/>
    <x v="0"/>
    <n v="47"/>
    <x v="1"/>
    <x v="2"/>
    <n v="2"/>
    <n v="50"/>
    <x v="4"/>
    <n v="1.5"/>
  </r>
  <r>
    <n v="391"/>
    <x v="0"/>
    <x v="2"/>
    <n v="5"/>
    <s v="Thursday"/>
    <s v="January"/>
    <m/>
    <d v="2023-01-05T00:00:00"/>
    <s v="CUST391"/>
    <x v="0"/>
    <n v="47"/>
    <x v="1"/>
    <x v="0"/>
    <n v="2"/>
    <n v="25"/>
    <x v="5"/>
    <n v="0.75"/>
  </r>
  <r>
    <n v="392"/>
    <x v="0"/>
    <x v="6"/>
    <n v="8"/>
    <s v="Friday"/>
    <s v="December"/>
    <m/>
    <d v="2023-12-08T00:00:00"/>
    <s v="CUST392"/>
    <x v="0"/>
    <n v="47"/>
    <x v="1"/>
    <x v="1"/>
    <n v="2"/>
    <n v="300"/>
    <x v="6"/>
    <n v="9"/>
  </r>
  <r>
    <n v="393"/>
    <x v="0"/>
    <x v="7"/>
    <n v="11"/>
    <s v="Wednesday"/>
    <s v="October"/>
    <m/>
    <d v="2023-10-11T00:00:00"/>
    <s v="CUST393"/>
    <x v="1"/>
    <n v="47"/>
    <x v="1"/>
    <x v="0"/>
    <n v="2"/>
    <n v="500"/>
    <x v="1"/>
    <n v="15"/>
  </r>
  <r>
    <n v="394"/>
    <x v="0"/>
    <x v="10"/>
    <n v="3"/>
    <s v="Saturday"/>
    <s v="June"/>
    <m/>
    <d v="2023-06-03T00:00:00"/>
    <s v="CUST394"/>
    <x v="1"/>
    <n v="47"/>
    <x v="1"/>
    <x v="1"/>
    <n v="1"/>
    <n v="500"/>
    <x v="3"/>
    <n v="7.5"/>
  </r>
  <r>
    <n v="395"/>
    <x v="0"/>
    <x v="6"/>
    <n v="6"/>
    <s v="Wednesday"/>
    <s v="December"/>
    <m/>
    <d v="2023-12-06T00:00:00"/>
    <s v="CUST395"/>
    <x v="0"/>
    <n v="47"/>
    <x v="1"/>
    <x v="2"/>
    <n v="2"/>
    <n v="500"/>
    <x v="1"/>
    <n v="15"/>
  </r>
  <r>
    <n v="396"/>
    <x v="0"/>
    <x v="1"/>
    <n v="23"/>
    <s v="Thursday"/>
    <s v="February"/>
    <m/>
    <d v="2023-02-23T00:00:00"/>
    <s v="CUST396"/>
    <x v="1"/>
    <n v="47"/>
    <x v="1"/>
    <x v="0"/>
    <n v="1"/>
    <n v="30"/>
    <x v="2"/>
    <n v="0.44999999999999996"/>
  </r>
  <r>
    <n v="397"/>
    <x v="0"/>
    <x v="5"/>
    <n v="10"/>
    <s v="Friday"/>
    <s v="March"/>
    <m/>
    <d v="2023-03-10T00:00:00"/>
    <s v="CUST397"/>
    <x v="1"/>
    <n v="47"/>
    <x v="1"/>
    <x v="0"/>
    <n v="1"/>
    <n v="25"/>
    <x v="16"/>
    <n v="0.375"/>
  </r>
  <r>
    <n v="398"/>
    <x v="0"/>
    <x v="3"/>
    <n v="16"/>
    <s v="Tuesday"/>
    <s v="May"/>
    <m/>
    <d v="2023-05-16T00:00:00"/>
    <s v="CUST398"/>
    <x v="1"/>
    <n v="47"/>
    <x v="1"/>
    <x v="1"/>
    <n v="2"/>
    <n v="300"/>
    <x v="6"/>
    <n v="9"/>
  </r>
  <r>
    <n v="399"/>
    <x v="0"/>
    <x v="5"/>
    <n v="1"/>
    <s v="Wednesday"/>
    <s v="March"/>
    <m/>
    <d v="2023-03-01T00:00:00"/>
    <s v="CUST399"/>
    <x v="1"/>
    <n v="47"/>
    <x v="1"/>
    <x v="0"/>
    <n v="2"/>
    <n v="30"/>
    <x v="17"/>
    <n v="0.89999999999999991"/>
  </r>
  <r>
    <n v="400"/>
    <x v="0"/>
    <x v="1"/>
    <n v="24"/>
    <s v="Friday"/>
    <s v="February"/>
    <m/>
    <d v="2023-02-24T00:00:00"/>
    <s v="CUST400"/>
    <x v="0"/>
    <n v="46"/>
    <x v="1"/>
    <x v="1"/>
    <n v="4"/>
    <n v="50"/>
    <x v="7"/>
    <n v="3"/>
  </r>
  <r>
    <n v="401"/>
    <x v="0"/>
    <x v="7"/>
    <n v="11"/>
    <s v="Wednesday"/>
    <s v="October"/>
    <m/>
    <d v="2023-10-11T00:00:00"/>
    <s v="CUST401"/>
    <x v="1"/>
    <n v="46"/>
    <x v="1"/>
    <x v="1"/>
    <n v="1"/>
    <n v="300"/>
    <x v="13"/>
    <n v="4.5"/>
  </r>
  <r>
    <n v="402"/>
    <x v="0"/>
    <x v="5"/>
    <n v="21"/>
    <s v="Tuesday"/>
    <s v="March"/>
    <m/>
    <d v="2023-03-21T00:00:00"/>
    <s v="CUST402"/>
    <x v="1"/>
    <n v="46"/>
    <x v="1"/>
    <x v="1"/>
    <n v="2"/>
    <n v="300"/>
    <x v="6"/>
    <n v="9"/>
  </r>
  <r>
    <n v="403"/>
    <x v="0"/>
    <x v="3"/>
    <n v="20"/>
    <s v="Saturday"/>
    <s v="May"/>
    <m/>
    <d v="2023-05-20T00:00:00"/>
    <s v="CUST403"/>
    <x v="0"/>
    <n v="46"/>
    <x v="1"/>
    <x v="1"/>
    <n v="2"/>
    <n v="300"/>
    <x v="6"/>
    <n v="9"/>
  </r>
  <r>
    <n v="404"/>
    <x v="0"/>
    <x v="3"/>
    <n v="25"/>
    <s v="Thursday"/>
    <s v="May"/>
    <m/>
    <d v="2023-05-25T00:00:00"/>
    <s v="CUST404"/>
    <x v="0"/>
    <n v="46"/>
    <x v="1"/>
    <x v="2"/>
    <n v="2"/>
    <n v="500"/>
    <x v="1"/>
    <n v="15"/>
  </r>
  <r>
    <n v="405"/>
    <x v="0"/>
    <x v="0"/>
    <n v="6"/>
    <s v="Monday"/>
    <s v="November"/>
    <m/>
    <d v="2023-11-06T00:00:00"/>
    <s v="CUST405"/>
    <x v="1"/>
    <n v="46"/>
    <x v="1"/>
    <x v="1"/>
    <n v="4"/>
    <n v="300"/>
    <x v="14"/>
    <n v="18"/>
  </r>
  <r>
    <n v="406"/>
    <x v="0"/>
    <x v="4"/>
    <n v="18"/>
    <s v="Tuesday"/>
    <s v="April"/>
    <m/>
    <d v="2023-04-18T00:00:00"/>
    <s v="CUST406"/>
    <x v="1"/>
    <n v="46"/>
    <x v="1"/>
    <x v="0"/>
    <n v="4"/>
    <n v="25"/>
    <x v="4"/>
    <n v="1.5"/>
  </r>
  <r>
    <n v="407"/>
    <x v="0"/>
    <x v="10"/>
    <n v="25"/>
    <s v="Sunday"/>
    <s v="June"/>
    <m/>
    <d v="2023-06-25T00:00:00"/>
    <s v="CUST407"/>
    <x v="1"/>
    <n v="46"/>
    <x v="1"/>
    <x v="2"/>
    <n v="3"/>
    <n v="300"/>
    <x v="12"/>
    <n v="13.5"/>
  </r>
  <r>
    <n v="408"/>
    <x v="0"/>
    <x v="4"/>
    <n v="15"/>
    <s v="Saturday"/>
    <s v="April"/>
    <m/>
    <d v="2023-04-15T00:00:00"/>
    <s v="CUST408"/>
    <x v="1"/>
    <n v="46"/>
    <x v="1"/>
    <x v="0"/>
    <n v="1"/>
    <n v="500"/>
    <x v="3"/>
    <n v="7.5"/>
  </r>
  <r>
    <n v="409"/>
    <x v="0"/>
    <x v="6"/>
    <n v="18"/>
    <s v="Monday"/>
    <s v="December"/>
    <m/>
    <d v="2023-12-18T00:00:00"/>
    <s v="CUST409"/>
    <x v="1"/>
    <n v="46"/>
    <x v="1"/>
    <x v="2"/>
    <n v="3"/>
    <n v="300"/>
    <x v="12"/>
    <n v="13.5"/>
  </r>
  <r>
    <n v="410"/>
    <x v="0"/>
    <x v="0"/>
    <n v="21"/>
    <s v="Tuesday"/>
    <s v="November"/>
    <m/>
    <d v="2023-11-21T00:00:00"/>
    <s v="CUST410"/>
    <x v="1"/>
    <n v="46"/>
    <x v="1"/>
    <x v="1"/>
    <n v="2"/>
    <n v="50"/>
    <x v="4"/>
    <n v="1.5"/>
  </r>
  <r>
    <n v="411"/>
    <x v="0"/>
    <x v="3"/>
    <n v="16"/>
    <s v="Tuesday"/>
    <s v="May"/>
    <m/>
    <d v="2023-05-16T00:00:00"/>
    <s v="CUST411"/>
    <x v="0"/>
    <n v="46"/>
    <x v="1"/>
    <x v="2"/>
    <n v="4"/>
    <n v="50"/>
    <x v="7"/>
    <n v="3"/>
  </r>
  <r>
    <n v="412"/>
    <x v="0"/>
    <x v="9"/>
    <n v="16"/>
    <s v="Saturday"/>
    <s v="September"/>
    <m/>
    <d v="2023-09-16T00:00:00"/>
    <s v="CUST412"/>
    <x v="1"/>
    <n v="46"/>
    <x v="1"/>
    <x v="2"/>
    <n v="4"/>
    <n v="500"/>
    <x v="11"/>
    <n v="30"/>
  </r>
  <r>
    <n v="413"/>
    <x v="0"/>
    <x v="9"/>
    <n v="8"/>
    <s v="Friday"/>
    <s v="September"/>
    <m/>
    <d v="2023-09-08T00:00:00"/>
    <s v="CUST413"/>
    <x v="1"/>
    <n v="46"/>
    <x v="1"/>
    <x v="0"/>
    <n v="3"/>
    <n v="25"/>
    <x v="8"/>
    <n v="1.125"/>
  </r>
  <r>
    <n v="414"/>
    <x v="0"/>
    <x v="3"/>
    <n v="9"/>
    <s v="Tuesday"/>
    <s v="May"/>
    <m/>
    <d v="2023-05-09T00:00:00"/>
    <s v="CUST414"/>
    <x v="0"/>
    <n v="46"/>
    <x v="1"/>
    <x v="0"/>
    <n v="4"/>
    <n v="25"/>
    <x v="4"/>
    <n v="1.5"/>
  </r>
  <r>
    <n v="415"/>
    <x v="0"/>
    <x v="2"/>
    <n v="27"/>
    <s v="Friday"/>
    <s v="January"/>
    <m/>
    <d v="2023-01-27T00:00:00"/>
    <s v="CUST415"/>
    <x v="0"/>
    <n v="46"/>
    <x v="1"/>
    <x v="1"/>
    <n v="2"/>
    <n v="30"/>
    <x v="17"/>
    <n v="0.89999999999999991"/>
  </r>
  <r>
    <n v="416"/>
    <x v="0"/>
    <x v="1"/>
    <n v="17"/>
    <s v="Friday"/>
    <s v="February"/>
    <m/>
    <d v="2023-02-17T00:00:00"/>
    <s v="CUST416"/>
    <x v="0"/>
    <n v="46"/>
    <x v="1"/>
    <x v="2"/>
    <n v="4"/>
    <n v="500"/>
    <x v="11"/>
    <n v="30"/>
  </r>
  <r>
    <n v="417"/>
    <x v="0"/>
    <x v="0"/>
    <n v="21"/>
    <s v="Tuesday"/>
    <s v="November"/>
    <m/>
    <d v="2023-11-21T00:00:00"/>
    <s v="CUST417"/>
    <x v="0"/>
    <n v="46"/>
    <x v="1"/>
    <x v="2"/>
    <n v="3"/>
    <n v="300"/>
    <x v="12"/>
    <n v="13.5"/>
  </r>
  <r>
    <n v="418"/>
    <x v="0"/>
    <x v="8"/>
    <n v="5"/>
    <s v="Saturday"/>
    <s v="August"/>
    <m/>
    <d v="2023-08-05T00:00:00"/>
    <s v="CUST418"/>
    <x v="1"/>
    <n v="46"/>
    <x v="1"/>
    <x v="2"/>
    <n v="2"/>
    <n v="500"/>
    <x v="1"/>
    <n v="15"/>
  </r>
  <r>
    <n v="419"/>
    <x v="0"/>
    <x v="3"/>
    <n v="22"/>
    <s v="Monday"/>
    <s v="May"/>
    <m/>
    <d v="2023-05-22T00:00:00"/>
    <s v="CUST419"/>
    <x v="1"/>
    <n v="46"/>
    <x v="1"/>
    <x v="1"/>
    <n v="3"/>
    <n v="30"/>
    <x v="15"/>
    <n v="1.3499999999999999"/>
  </r>
  <r>
    <n v="420"/>
    <x v="0"/>
    <x v="2"/>
    <n v="23"/>
    <s v="Monday"/>
    <s v="January"/>
    <m/>
    <d v="2023-01-23T00:00:00"/>
    <s v="CUST420"/>
    <x v="1"/>
    <n v="46"/>
    <x v="1"/>
    <x v="1"/>
    <n v="4"/>
    <n v="500"/>
    <x v="11"/>
    <n v="30"/>
  </r>
  <r>
    <n v="421"/>
    <x v="0"/>
    <x v="2"/>
    <n v="2"/>
    <s v="Monday"/>
    <s v="January"/>
    <m/>
    <d v="2023-01-02T00:00:00"/>
    <s v="CUST421"/>
    <x v="1"/>
    <n v="46"/>
    <x v="1"/>
    <x v="1"/>
    <n v="3"/>
    <n v="500"/>
    <x v="9"/>
    <n v="22.5"/>
  </r>
  <r>
    <n v="422"/>
    <x v="0"/>
    <x v="10"/>
    <n v="20"/>
    <s v="Tuesday"/>
    <s v="June"/>
    <m/>
    <d v="2023-06-20T00:00:00"/>
    <s v="CUST422"/>
    <x v="1"/>
    <n v="46"/>
    <x v="1"/>
    <x v="1"/>
    <n v="3"/>
    <n v="30"/>
    <x v="15"/>
    <n v="1.3499999999999999"/>
  </r>
  <r>
    <n v="423"/>
    <x v="0"/>
    <x v="5"/>
    <n v="8"/>
    <s v="Wednesday"/>
    <s v="March"/>
    <m/>
    <d v="2023-03-08T00:00:00"/>
    <s v="CUST423"/>
    <x v="1"/>
    <n v="46"/>
    <x v="1"/>
    <x v="1"/>
    <n v="1"/>
    <n v="25"/>
    <x v="16"/>
    <n v="0.375"/>
  </r>
  <r>
    <n v="424"/>
    <x v="0"/>
    <x v="0"/>
    <n v="23"/>
    <s v="Thursday"/>
    <s v="November"/>
    <m/>
    <d v="2023-11-23T00:00:00"/>
    <s v="CUST424"/>
    <x v="0"/>
    <n v="46"/>
    <x v="1"/>
    <x v="0"/>
    <n v="4"/>
    <n v="300"/>
    <x v="14"/>
    <n v="18"/>
  </r>
  <r>
    <n v="425"/>
    <x v="0"/>
    <x v="3"/>
    <n v="15"/>
    <s v="Monday"/>
    <s v="May"/>
    <m/>
    <d v="2023-05-15T00:00:00"/>
    <s v="CUST425"/>
    <x v="1"/>
    <n v="45"/>
    <x v="1"/>
    <x v="2"/>
    <n v="4"/>
    <n v="30"/>
    <x v="10"/>
    <n v="1.7999999999999998"/>
  </r>
  <r>
    <n v="426"/>
    <x v="0"/>
    <x v="5"/>
    <n v="24"/>
    <s v="Friday"/>
    <s v="March"/>
    <m/>
    <d v="2023-03-24T00:00:00"/>
    <s v="CUST426"/>
    <x v="0"/>
    <n v="45"/>
    <x v="1"/>
    <x v="2"/>
    <n v="3"/>
    <n v="50"/>
    <x v="0"/>
    <n v="2.25"/>
  </r>
  <r>
    <n v="427"/>
    <x v="0"/>
    <x v="8"/>
    <n v="15"/>
    <s v="Tuesday"/>
    <s v="August"/>
    <m/>
    <d v="2023-08-15T00:00:00"/>
    <s v="CUST427"/>
    <x v="0"/>
    <n v="45"/>
    <x v="1"/>
    <x v="2"/>
    <n v="1"/>
    <n v="25"/>
    <x v="16"/>
    <n v="0.375"/>
  </r>
  <r>
    <n v="428"/>
    <x v="0"/>
    <x v="7"/>
    <n v="10"/>
    <s v="Tuesday"/>
    <s v="October"/>
    <m/>
    <d v="2023-10-10T00:00:00"/>
    <s v="CUST428"/>
    <x v="1"/>
    <n v="45"/>
    <x v="1"/>
    <x v="2"/>
    <n v="4"/>
    <n v="50"/>
    <x v="7"/>
    <n v="3"/>
  </r>
  <r>
    <n v="429"/>
    <x v="0"/>
    <x v="6"/>
    <n v="28"/>
    <s v="Thursday"/>
    <s v="December"/>
    <m/>
    <d v="2023-12-28T00:00:00"/>
    <s v="CUST429"/>
    <x v="0"/>
    <n v="45"/>
    <x v="1"/>
    <x v="2"/>
    <n v="2"/>
    <n v="25"/>
    <x v="5"/>
    <n v="0.75"/>
  </r>
  <r>
    <n v="430"/>
    <x v="0"/>
    <x v="8"/>
    <n v="7"/>
    <s v="Monday"/>
    <s v="August"/>
    <m/>
    <d v="2023-08-07T00:00:00"/>
    <s v="CUST430"/>
    <x v="1"/>
    <n v="45"/>
    <x v="1"/>
    <x v="2"/>
    <n v="3"/>
    <n v="300"/>
    <x v="12"/>
    <n v="13.5"/>
  </r>
  <r>
    <n v="431"/>
    <x v="0"/>
    <x v="7"/>
    <n v="15"/>
    <s v="Sunday"/>
    <s v="October"/>
    <m/>
    <d v="2023-10-15T00:00:00"/>
    <s v="CUST431"/>
    <x v="0"/>
    <n v="45"/>
    <x v="1"/>
    <x v="2"/>
    <n v="4"/>
    <n v="300"/>
    <x v="14"/>
    <n v="18"/>
  </r>
  <r>
    <n v="432"/>
    <x v="0"/>
    <x v="2"/>
    <n v="5"/>
    <s v="Thursday"/>
    <s v="January"/>
    <m/>
    <d v="2023-01-05T00:00:00"/>
    <s v="CUST432"/>
    <x v="1"/>
    <n v="45"/>
    <x v="1"/>
    <x v="2"/>
    <n v="2"/>
    <n v="500"/>
    <x v="1"/>
    <n v="15"/>
  </r>
  <r>
    <n v="433"/>
    <x v="0"/>
    <x v="1"/>
    <n v="27"/>
    <s v="Monday"/>
    <s v="February"/>
    <m/>
    <d v="2023-02-27T00:00:00"/>
    <s v="CUST433"/>
    <x v="0"/>
    <n v="45"/>
    <x v="1"/>
    <x v="0"/>
    <n v="4"/>
    <n v="50"/>
    <x v="7"/>
    <n v="3"/>
  </r>
  <r>
    <n v="434"/>
    <x v="0"/>
    <x v="1"/>
    <n v="8"/>
    <s v="Wednesday"/>
    <s v="February"/>
    <m/>
    <d v="2023-02-08T00:00:00"/>
    <s v="CUST434"/>
    <x v="1"/>
    <n v="45"/>
    <x v="1"/>
    <x v="2"/>
    <n v="2"/>
    <n v="25"/>
    <x v="5"/>
    <n v="0.75"/>
  </r>
  <r>
    <n v="435"/>
    <x v="0"/>
    <x v="6"/>
    <n v="20"/>
    <s v="Wednesday"/>
    <s v="December"/>
    <m/>
    <d v="2023-12-20T00:00:00"/>
    <s v="CUST435"/>
    <x v="1"/>
    <n v="45"/>
    <x v="1"/>
    <x v="0"/>
    <n v="3"/>
    <n v="300"/>
    <x v="12"/>
    <n v="13.5"/>
  </r>
  <r>
    <n v="436"/>
    <x v="0"/>
    <x v="5"/>
    <n v="18"/>
    <s v="Saturday"/>
    <s v="March"/>
    <m/>
    <d v="2023-03-18T00:00:00"/>
    <s v="CUST436"/>
    <x v="1"/>
    <n v="45"/>
    <x v="1"/>
    <x v="1"/>
    <n v="4"/>
    <n v="30"/>
    <x v="10"/>
    <n v="1.7999999999999998"/>
  </r>
  <r>
    <n v="437"/>
    <x v="0"/>
    <x v="7"/>
    <n v="7"/>
    <s v="Saturday"/>
    <s v="October"/>
    <m/>
    <d v="2023-10-07T00:00:00"/>
    <s v="CUST437"/>
    <x v="1"/>
    <n v="45"/>
    <x v="1"/>
    <x v="2"/>
    <n v="4"/>
    <n v="300"/>
    <x v="14"/>
    <n v="18"/>
  </r>
  <r>
    <n v="438"/>
    <x v="0"/>
    <x v="2"/>
    <n v="19"/>
    <s v="Thursday"/>
    <s v="January"/>
    <m/>
    <d v="2023-01-19T00:00:00"/>
    <s v="CUST438"/>
    <x v="1"/>
    <n v="45"/>
    <x v="1"/>
    <x v="1"/>
    <n v="1"/>
    <n v="30"/>
    <x v="2"/>
    <n v="0.44999999999999996"/>
  </r>
  <r>
    <n v="439"/>
    <x v="0"/>
    <x v="11"/>
    <n v="9"/>
    <s v="Sunday"/>
    <s v="July"/>
    <m/>
    <d v="2023-07-09T00:00:00"/>
    <s v="CUST439"/>
    <x v="0"/>
    <n v="45"/>
    <x v="1"/>
    <x v="1"/>
    <n v="3"/>
    <n v="25"/>
    <x v="8"/>
    <n v="1.125"/>
  </r>
  <r>
    <n v="440"/>
    <x v="0"/>
    <x v="7"/>
    <n v="26"/>
    <s v="Thursday"/>
    <s v="October"/>
    <m/>
    <d v="2023-10-26T00:00:00"/>
    <s v="CUST440"/>
    <x v="0"/>
    <n v="45"/>
    <x v="1"/>
    <x v="1"/>
    <n v="2"/>
    <n v="300"/>
    <x v="6"/>
    <n v="9"/>
  </r>
  <r>
    <n v="441"/>
    <x v="0"/>
    <x v="7"/>
    <n v="10"/>
    <s v="Tuesday"/>
    <s v="October"/>
    <m/>
    <d v="2023-10-10T00:00:00"/>
    <s v="CUST441"/>
    <x v="0"/>
    <n v="45"/>
    <x v="1"/>
    <x v="0"/>
    <n v="4"/>
    <n v="300"/>
    <x v="14"/>
    <n v="18"/>
  </r>
  <r>
    <n v="442"/>
    <x v="0"/>
    <x v="5"/>
    <n v="17"/>
    <s v="Friday"/>
    <s v="March"/>
    <m/>
    <d v="2023-03-17T00:00:00"/>
    <s v="CUST442"/>
    <x v="1"/>
    <n v="44"/>
    <x v="1"/>
    <x v="1"/>
    <n v="4"/>
    <n v="25"/>
    <x v="4"/>
    <n v="1.5"/>
  </r>
  <r>
    <n v="443"/>
    <x v="0"/>
    <x v="8"/>
    <n v="9"/>
    <s v="Wednesday"/>
    <s v="August"/>
    <m/>
    <d v="2023-08-09T00:00:00"/>
    <s v="CUST443"/>
    <x v="0"/>
    <n v="44"/>
    <x v="1"/>
    <x v="1"/>
    <n v="2"/>
    <n v="300"/>
    <x v="6"/>
    <n v="9"/>
  </r>
  <r>
    <n v="444"/>
    <x v="0"/>
    <x v="5"/>
    <n v="7"/>
    <s v="Tuesday"/>
    <s v="March"/>
    <m/>
    <d v="2023-03-07T00:00:00"/>
    <s v="CUST444"/>
    <x v="1"/>
    <n v="44"/>
    <x v="1"/>
    <x v="1"/>
    <n v="3"/>
    <n v="30"/>
    <x v="15"/>
    <n v="1.3499999999999999"/>
  </r>
  <r>
    <n v="445"/>
    <x v="0"/>
    <x v="2"/>
    <n v="22"/>
    <s v="Sunday"/>
    <s v="January"/>
    <m/>
    <d v="2023-01-22T00:00:00"/>
    <s v="CUST445"/>
    <x v="1"/>
    <n v="44"/>
    <x v="1"/>
    <x v="2"/>
    <n v="1"/>
    <n v="300"/>
    <x v="13"/>
    <n v="4.5"/>
  </r>
  <r>
    <n v="446"/>
    <x v="0"/>
    <x v="10"/>
    <n v="7"/>
    <s v="Wednesday"/>
    <s v="June"/>
    <m/>
    <d v="2023-06-07T00:00:00"/>
    <s v="CUST446"/>
    <x v="0"/>
    <n v="44"/>
    <x v="1"/>
    <x v="2"/>
    <n v="1"/>
    <n v="50"/>
    <x v="5"/>
    <n v="0.75"/>
  </r>
  <r>
    <n v="447"/>
    <x v="0"/>
    <x v="11"/>
    <n v="6"/>
    <s v="Thursday"/>
    <s v="July"/>
    <m/>
    <d v="2023-07-06T00:00:00"/>
    <s v="CUST447"/>
    <x v="0"/>
    <n v="44"/>
    <x v="1"/>
    <x v="0"/>
    <n v="4"/>
    <n v="500"/>
    <x v="11"/>
    <n v="30"/>
  </r>
  <r>
    <n v="448"/>
    <x v="0"/>
    <x v="2"/>
    <n v="21"/>
    <s v="Saturday"/>
    <s v="January"/>
    <m/>
    <d v="2023-01-21T00:00:00"/>
    <s v="CUST448"/>
    <x v="1"/>
    <n v="44"/>
    <x v="1"/>
    <x v="0"/>
    <n v="2"/>
    <n v="30"/>
    <x v="17"/>
    <n v="0.89999999999999991"/>
  </r>
  <r>
    <n v="449"/>
    <x v="0"/>
    <x v="11"/>
    <n v="3"/>
    <s v="Monday"/>
    <s v="July"/>
    <m/>
    <d v="2023-07-03T00:00:00"/>
    <s v="CUST449"/>
    <x v="0"/>
    <n v="44"/>
    <x v="1"/>
    <x v="2"/>
    <n v="4"/>
    <n v="50"/>
    <x v="7"/>
    <n v="3"/>
  </r>
  <r>
    <n v="450"/>
    <x v="0"/>
    <x v="4"/>
    <n v="18"/>
    <s v="Tuesday"/>
    <s v="April"/>
    <m/>
    <d v="2023-04-18T00:00:00"/>
    <s v="CUST450"/>
    <x v="1"/>
    <n v="44"/>
    <x v="1"/>
    <x v="0"/>
    <n v="2"/>
    <n v="25"/>
    <x v="5"/>
    <n v="0.75"/>
  </r>
  <r>
    <n v="451"/>
    <x v="0"/>
    <x v="6"/>
    <n v="16"/>
    <s v="Saturday"/>
    <s v="December"/>
    <m/>
    <d v="2023-12-16T00:00:00"/>
    <s v="CUST451"/>
    <x v="1"/>
    <n v="44"/>
    <x v="1"/>
    <x v="2"/>
    <n v="1"/>
    <n v="30"/>
    <x v="2"/>
    <n v="0.44999999999999996"/>
  </r>
  <r>
    <n v="452"/>
    <x v="0"/>
    <x v="3"/>
    <n v="8"/>
    <s v="Monday"/>
    <s v="May"/>
    <m/>
    <d v="2023-05-08T00:00:00"/>
    <s v="CUST452"/>
    <x v="1"/>
    <n v="44"/>
    <x v="1"/>
    <x v="1"/>
    <n v="3"/>
    <n v="500"/>
    <x v="9"/>
    <n v="22.5"/>
  </r>
  <r>
    <n v="453"/>
    <x v="0"/>
    <x v="6"/>
    <n v="8"/>
    <s v="Friday"/>
    <s v="December"/>
    <m/>
    <d v="2023-12-08T00:00:00"/>
    <s v="CUST453"/>
    <x v="1"/>
    <n v="44"/>
    <x v="1"/>
    <x v="1"/>
    <n v="2"/>
    <n v="500"/>
    <x v="1"/>
    <n v="15"/>
  </r>
  <r>
    <n v="454"/>
    <x v="0"/>
    <x v="1"/>
    <n v="22"/>
    <s v="Wednesday"/>
    <s v="February"/>
    <m/>
    <d v="2023-02-22T00:00:00"/>
    <s v="CUST454"/>
    <x v="1"/>
    <n v="44"/>
    <x v="1"/>
    <x v="0"/>
    <n v="1"/>
    <n v="25"/>
    <x v="16"/>
    <n v="0.375"/>
  </r>
  <r>
    <n v="455"/>
    <x v="0"/>
    <x v="11"/>
    <n v="1"/>
    <s v="Saturday"/>
    <s v="July"/>
    <m/>
    <d v="2023-07-01T00:00:00"/>
    <s v="CUST455"/>
    <x v="0"/>
    <n v="44"/>
    <x v="1"/>
    <x v="2"/>
    <n v="4"/>
    <n v="25"/>
    <x v="4"/>
    <n v="1.5"/>
  </r>
  <r>
    <n v="456"/>
    <x v="0"/>
    <x v="7"/>
    <n v="14"/>
    <s v="Saturday"/>
    <s v="October"/>
    <m/>
    <d v="2023-10-14T00:00:00"/>
    <s v="CUST456"/>
    <x v="0"/>
    <n v="44"/>
    <x v="1"/>
    <x v="2"/>
    <n v="2"/>
    <n v="30"/>
    <x v="17"/>
    <n v="0.89999999999999991"/>
  </r>
  <r>
    <n v="457"/>
    <x v="0"/>
    <x v="11"/>
    <n v="28"/>
    <s v="Friday"/>
    <s v="July"/>
    <m/>
    <d v="2023-07-28T00:00:00"/>
    <s v="CUST457"/>
    <x v="1"/>
    <n v="43"/>
    <x v="1"/>
    <x v="0"/>
    <n v="3"/>
    <n v="300"/>
    <x v="12"/>
    <n v="13.5"/>
  </r>
  <r>
    <n v="458"/>
    <x v="0"/>
    <x v="0"/>
    <n v="14"/>
    <s v="Tuesday"/>
    <s v="November"/>
    <m/>
    <d v="2023-11-14T00:00:00"/>
    <s v="CUST458"/>
    <x v="1"/>
    <n v="43"/>
    <x v="1"/>
    <x v="2"/>
    <n v="4"/>
    <n v="25"/>
    <x v="4"/>
    <n v="1.5"/>
  </r>
  <r>
    <n v="459"/>
    <x v="0"/>
    <x v="5"/>
    <n v="21"/>
    <s v="Tuesday"/>
    <s v="March"/>
    <m/>
    <d v="2023-03-21T00:00:00"/>
    <s v="CUST459"/>
    <x v="0"/>
    <n v="43"/>
    <x v="1"/>
    <x v="1"/>
    <n v="4"/>
    <n v="300"/>
    <x v="14"/>
    <n v="18"/>
  </r>
  <r>
    <n v="460"/>
    <x v="0"/>
    <x v="3"/>
    <n v="2"/>
    <s v="Tuesday"/>
    <s v="May"/>
    <m/>
    <d v="2023-05-02T00:00:00"/>
    <s v="CUST460"/>
    <x v="0"/>
    <n v="43"/>
    <x v="1"/>
    <x v="0"/>
    <n v="1"/>
    <n v="50"/>
    <x v="5"/>
    <n v="0.75"/>
  </r>
  <r>
    <n v="461"/>
    <x v="0"/>
    <x v="5"/>
    <n v="25"/>
    <s v="Saturday"/>
    <s v="March"/>
    <m/>
    <d v="2023-03-25T00:00:00"/>
    <s v="CUST461"/>
    <x v="1"/>
    <n v="43"/>
    <x v="1"/>
    <x v="0"/>
    <n v="2"/>
    <n v="500"/>
    <x v="1"/>
    <n v="15"/>
  </r>
  <r>
    <n v="462"/>
    <x v="0"/>
    <x v="4"/>
    <n v="1"/>
    <s v="Saturday"/>
    <s v="April"/>
    <m/>
    <d v="2023-04-01T00:00:00"/>
    <s v="CUST462"/>
    <x v="0"/>
    <n v="43"/>
    <x v="1"/>
    <x v="2"/>
    <n v="4"/>
    <n v="300"/>
    <x v="14"/>
    <n v="18"/>
  </r>
  <r>
    <n v="463"/>
    <x v="0"/>
    <x v="11"/>
    <n v="31"/>
    <s v="Monday"/>
    <s v="July"/>
    <m/>
    <d v="2023-07-31T00:00:00"/>
    <s v="CUST463"/>
    <x v="1"/>
    <n v="43"/>
    <x v="1"/>
    <x v="0"/>
    <n v="3"/>
    <n v="500"/>
    <x v="9"/>
    <n v="22.5"/>
  </r>
  <r>
    <n v="464"/>
    <x v="0"/>
    <x v="2"/>
    <n v="13"/>
    <s v="Friday"/>
    <s v="January"/>
    <m/>
    <d v="2023-01-13T00:00:00"/>
    <s v="CUST464"/>
    <x v="0"/>
    <n v="43"/>
    <x v="1"/>
    <x v="2"/>
    <n v="2"/>
    <n v="300"/>
    <x v="6"/>
    <n v="9"/>
  </r>
  <r>
    <n v="465"/>
    <x v="0"/>
    <x v="4"/>
    <n v="2"/>
    <s v="Sunday"/>
    <s v="April"/>
    <m/>
    <d v="2023-04-02T00:00:00"/>
    <s v="CUST465"/>
    <x v="1"/>
    <n v="43"/>
    <x v="1"/>
    <x v="2"/>
    <n v="3"/>
    <n v="50"/>
    <x v="0"/>
    <n v="2.25"/>
  </r>
  <r>
    <n v="466"/>
    <x v="0"/>
    <x v="10"/>
    <n v="20"/>
    <s v="Tuesday"/>
    <s v="June"/>
    <m/>
    <d v="2023-06-20T00:00:00"/>
    <s v="CUST466"/>
    <x v="0"/>
    <n v="43"/>
    <x v="1"/>
    <x v="2"/>
    <n v="4"/>
    <n v="25"/>
    <x v="4"/>
    <n v="1.5"/>
  </r>
  <r>
    <n v="467"/>
    <x v="0"/>
    <x v="11"/>
    <n v="30"/>
    <s v="Sunday"/>
    <s v="July"/>
    <m/>
    <d v="2023-07-30T00:00:00"/>
    <s v="CUST467"/>
    <x v="1"/>
    <n v="43"/>
    <x v="1"/>
    <x v="2"/>
    <n v="3"/>
    <n v="50"/>
    <x v="0"/>
    <n v="2.25"/>
  </r>
  <r>
    <n v="468"/>
    <x v="0"/>
    <x v="6"/>
    <n v="9"/>
    <s v="Saturday"/>
    <s v="December"/>
    <m/>
    <d v="2023-12-09T00:00:00"/>
    <s v="CUST468"/>
    <x v="0"/>
    <n v="43"/>
    <x v="1"/>
    <x v="2"/>
    <n v="1"/>
    <n v="25"/>
    <x v="16"/>
    <n v="0.375"/>
  </r>
  <r>
    <n v="469"/>
    <x v="0"/>
    <x v="3"/>
    <n v="8"/>
    <s v="Monday"/>
    <s v="May"/>
    <m/>
    <d v="2023-05-08T00:00:00"/>
    <s v="CUST469"/>
    <x v="0"/>
    <n v="43"/>
    <x v="1"/>
    <x v="0"/>
    <n v="3"/>
    <n v="25"/>
    <x v="8"/>
    <n v="1.125"/>
  </r>
  <r>
    <n v="470"/>
    <x v="0"/>
    <x v="3"/>
    <n v="17"/>
    <s v="Wednesday"/>
    <s v="May"/>
    <m/>
    <d v="2023-05-17T00:00:00"/>
    <s v="CUST470"/>
    <x v="1"/>
    <n v="43"/>
    <x v="1"/>
    <x v="1"/>
    <n v="2"/>
    <n v="500"/>
    <x v="1"/>
    <n v="15"/>
  </r>
  <r>
    <n v="471"/>
    <x v="0"/>
    <x v="5"/>
    <n v="23"/>
    <s v="Thursday"/>
    <s v="March"/>
    <m/>
    <d v="2023-03-23T00:00:00"/>
    <s v="CUST471"/>
    <x v="0"/>
    <n v="43"/>
    <x v="1"/>
    <x v="1"/>
    <n v="3"/>
    <n v="50"/>
    <x v="0"/>
    <n v="2.25"/>
  </r>
  <r>
    <n v="472"/>
    <x v="0"/>
    <x v="6"/>
    <n v="26"/>
    <s v="Tuesday"/>
    <s v="December"/>
    <m/>
    <d v="2023-12-26T00:00:00"/>
    <s v="CUST472"/>
    <x v="1"/>
    <n v="43"/>
    <x v="1"/>
    <x v="0"/>
    <n v="3"/>
    <n v="300"/>
    <x v="12"/>
    <n v="13.5"/>
  </r>
  <r>
    <n v="473"/>
    <x v="0"/>
    <x v="1"/>
    <n v="25"/>
    <s v="Saturday"/>
    <s v="February"/>
    <m/>
    <d v="2023-02-25T00:00:00"/>
    <s v="CUST473"/>
    <x v="0"/>
    <n v="43"/>
    <x v="1"/>
    <x v="0"/>
    <n v="1"/>
    <n v="50"/>
    <x v="5"/>
    <n v="0.75"/>
  </r>
  <r>
    <n v="474"/>
    <x v="0"/>
    <x v="11"/>
    <n v="15"/>
    <s v="Saturday"/>
    <s v="July"/>
    <m/>
    <d v="2023-07-15T00:00:00"/>
    <s v="CUST474"/>
    <x v="1"/>
    <n v="43"/>
    <x v="1"/>
    <x v="1"/>
    <n v="3"/>
    <n v="500"/>
    <x v="9"/>
    <n v="22.5"/>
  </r>
  <r>
    <n v="475"/>
    <x v="0"/>
    <x v="2"/>
    <n v="20"/>
    <s v="Friday"/>
    <s v="January"/>
    <m/>
    <d v="2023-01-20T00:00:00"/>
    <s v="CUST475"/>
    <x v="0"/>
    <n v="43"/>
    <x v="1"/>
    <x v="1"/>
    <n v="3"/>
    <n v="25"/>
    <x v="8"/>
    <n v="1.125"/>
  </r>
  <r>
    <n v="476"/>
    <x v="0"/>
    <x v="8"/>
    <n v="29"/>
    <s v="Tuesday"/>
    <s v="August"/>
    <m/>
    <d v="2023-08-29T00:00:00"/>
    <s v="CUST476"/>
    <x v="1"/>
    <n v="43"/>
    <x v="1"/>
    <x v="1"/>
    <n v="4"/>
    <n v="500"/>
    <x v="11"/>
    <n v="30"/>
  </r>
  <r>
    <n v="477"/>
    <x v="0"/>
    <x v="4"/>
    <n v="24"/>
    <s v="Monday"/>
    <s v="April"/>
    <m/>
    <d v="2023-04-24T00:00:00"/>
    <s v="CUST477"/>
    <x v="0"/>
    <n v="43"/>
    <x v="1"/>
    <x v="1"/>
    <n v="4"/>
    <n v="30"/>
    <x v="10"/>
    <n v="1.7999999999999998"/>
  </r>
  <r>
    <n v="478"/>
    <x v="0"/>
    <x v="4"/>
    <n v="13"/>
    <s v="Thursday"/>
    <s v="April"/>
    <m/>
    <d v="2023-04-13T00:00:00"/>
    <s v="CUST478"/>
    <x v="1"/>
    <n v="43"/>
    <x v="1"/>
    <x v="1"/>
    <n v="2"/>
    <n v="30"/>
    <x v="17"/>
    <n v="0.89999999999999991"/>
  </r>
  <r>
    <n v="479"/>
    <x v="0"/>
    <x v="8"/>
    <n v="24"/>
    <s v="Thursday"/>
    <s v="August"/>
    <m/>
    <d v="2023-08-24T00:00:00"/>
    <s v="CUST479"/>
    <x v="0"/>
    <n v="43"/>
    <x v="1"/>
    <x v="2"/>
    <n v="4"/>
    <n v="300"/>
    <x v="14"/>
    <n v="18"/>
  </r>
  <r>
    <n v="480"/>
    <x v="0"/>
    <x v="10"/>
    <n v="29"/>
    <s v="Thursday"/>
    <s v="June"/>
    <m/>
    <d v="2023-06-29T00:00:00"/>
    <s v="CUST480"/>
    <x v="1"/>
    <n v="43"/>
    <x v="1"/>
    <x v="0"/>
    <n v="4"/>
    <n v="500"/>
    <x v="11"/>
    <n v="30"/>
  </r>
  <r>
    <n v="481"/>
    <x v="0"/>
    <x v="10"/>
    <n v="6"/>
    <s v="Tuesday"/>
    <s v="June"/>
    <m/>
    <d v="2023-06-06T00:00:00"/>
    <s v="CUST481"/>
    <x v="1"/>
    <n v="43"/>
    <x v="1"/>
    <x v="2"/>
    <n v="4"/>
    <n v="300"/>
    <x v="14"/>
    <n v="18"/>
  </r>
  <r>
    <n v="482"/>
    <x v="0"/>
    <x v="4"/>
    <n v="27"/>
    <s v="Thursday"/>
    <s v="April"/>
    <m/>
    <d v="2023-04-27T00:00:00"/>
    <s v="CUST482"/>
    <x v="1"/>
    <n v="43"/>
    <x v="1"/>
    <x v="1"/>
    <n v="4"/>
    <n v="300"/>
    <x v="14"/>
    <n v="18"/>
  </r>
  <r>
    <n v="483"/>
    <x v="0"/>
    <x v="4"/>
    <n v="25"/>
    <s v="Tuesday"/>
    <s v="April"/>
    <m/>
    <d v="2023-04-25T00:00:00"/>
    <s v="CUST483"/>
    <x v="0"/>
    <n v="43"/>
    <x v="1"/>
    <x v="1"/>
    <n v="1"/>
    <n v="30"/>
    <x v="2"/>
    <n v="0.44999999999999996"/>
  </r>
  <r>
    <n v="484"/>
    <x v="0"/>
    <x v="2"/>
    <n v="13"/>
    <s v="Friday"/>
    <s v="January"/>
    <m/>
    <d v="2023-01-13T00:00:00"/>
    <s v="CUST484"/>
    <x v="1"/>
    <n v="43"/>
    <x v="1"/>
    <x v="1"/>
    <n v="4"/>
    <n v="300"/>
    <x v="14"/>
    <n v="18"/>
  </r>
  <r>
    <n v="485"/>
    <x v="0"/>
    <x v="6"/>
    <n v="4"/>
    <s v="Monday"/>
    <s v="December"/>
    <m/>
    <d v="2023-12-04T00:00:00"/>
    <s v="CUST485"/>
    <x v="0"/>
    <n v="43"/>
    <x v="1"/>
    <x v="2"/>
    <n v="1"/>
    <n v="30"/>
    <x v="2"/>
    <n v="0.44999999999999996"/>
  </r>
  <r>
    <n v="486"/>
    <x v="0"/>
    <x v="4"/>
    <n v="9"/>
    <s v="Sunday"/>
    <s v="April"/>
    <m/>
    <d v="2023-04-09T00:00:00"/>
    <s v="CUST486"/>
    <x v="1"/>
    <n v="43"/>
    <x v="1"/>
    <x v="2"/>
    <n v="1"/>
    <n v="25"/>
    <x v="16"/>
    <n v="0.375"/>
  </r>
  <r>
    <n v="487"/>
    <x v="0"/>
    <x v="11"/>
    <n v="24"/>
    <s v="Monday"/>
    <s v="July"/>
    <m/>
    <d v="2023-07-24T00:00:00"/>
    <s v="CUST487"/>
    <x v="0"/>
    <n v="43"/>
    <x v="1"/>
    <x v="1"/>
    <n v="4"/>
    <n v="500"/>
    <x v="11"/>
    <n v="30"/>
  </r>
  <r>
    <n v="488"/>
    <x v="0"/>
    <x v="10"/>
    <n v="18"/>
    <s v="Sunday"/>
    <s v="June"/>
    <m/>
    <d v="2023-06-18T00:00:00"/>
    <s v="CUST488"/>
    <x v="1"/>
    <n v="42"/>
    <x v="1"/>
    <x v="2"/>
    <n v="3"/>
    <n v="300"/>
    <x v="12"/>
    <n v="13.5"/>
  </r>
  <r>
    <n v="489"/>
    <x v="0"/>
    <x v="3"/>
    <n v="23"/>
    <s v="Tuesday"/>
    <s v="May"/>
    <m/>
    <d v="2023-05-23T00:00:00"/>
    <s v="CUST489"/>
    <x v="0"/>
    <n v="42"/>
    <x v="1"/>
    <x v="2"/>
    <n v="1"/>
    <n v="30"/>
    <x v="2"/>
    <n v="0.44999999999999996"/>
  </r>
  <r>
    <n v="490"/>
    <x v="0"/>
    <x v="1"/>
    <n v="5"/>
    <s v="Sunday"/>
    <s v="February"/>
    <m/>
    <d v="2023-02-05T00:00:00"/>
    <s v="CUST490"/>
    <x v="0"/>
    <n v="42"/>
    <x v="1"/>
    <x v="1"/>
    <n v="3"/>
    <n v="50"/>
    <x v="0"/>
    <n v="2.25"/>
  </r>
  <r>
    <n v="491"/>
    <x v="0"/>
    <x v="3"/>
    <n v="23"/>
    <s v="Tuesday"/>
    <s v="May"/>
    <m/>
    <d v="2023-05-23T00:00:00"/>
    <s v="CUST491"/>
    <x v="1"/>
    <n v="42"/>
    <x v="1"/>
    <x v="2"/>
    <n v="3"/>
    <n v="300"/>
    <x v="12"/>
    <n v="13.5"/>
  </r>
  <r>
    <n v="492"/>
    <x v="0"/>
    <x v="10"/>
    <n v="29"/>
    <s v="Thursday"/>
    <s v="June"/>
    <m/>
    <d v="2023-06-29T00:00:00"/>
    <s v="CUST492"/>
    <x v="0"/>
    <n v="42"/>
    <x v="1"/>
    <x v="0"/>
    <n v="4"/>
    <n v="25"/>
    <x v="4"/>
    <n v="1.5"/>
  </r>
  <r>
    <n v="493"/>
    <x v="0"/>
    <x v="0"/>
    <n v="25"/>
    <s v="Saturday"/>
    <s v="November"/>
    <m/>
    <d v="2023-11-25T00:00:00"/>
    <s v="CUST493"/>
    <x v="0"/>
    <n v="42"/>
    <x v="1"/>
    <x v="0"/>
    <n v="2"/>
    <n v="25"/>
    <x v="5"/>
    <n v="0.75"/>
  </r>
  <r>
    <n v="494"/>
    <x v="0"/>
    <x v="9"/>
    <n v="18"/>
    <s v="Monday"/>
    <s v="September"/>
    <m/>
    <d v="2023-09-18T00:00:00"/>
    <s v="CUST494"/>
    <x v="1"/>
    <n v="42"/>
    <x v="1"/>
    <x v="0"/>
    <n v="4"/>
    <n v="50"/>
    <x v="7"/>
    <n v="3"/>
  </r>
  <r>
    <n v="495"/>
    <x v="0"/>
    <x v="11"/>
    <n v="24"/>
    <s v="Monday"/>
    <s v="July"/>
    <m/>
    <d v="2023-07-24T00:00:00"/>
    <s v="CUST495"/>
    <x v="0"/>
    <n v="42"/>
    <x v="1"/>
    <x v="0"/>
    <n v="2"/>
    <n v="30"/>
    <x v="17"/>
    <n v="0.89999999999999991"/>
  </r>
  <r>
    <n v="496"/>
    <x v="0"/>
    <x v="6"/>
    <n v="14"/>
    <s v="Thursday"/>
    <s v="December"/>
    <m/>
    <d v="2023-12-14T00:00:00"/>
    <s v="CUST496"/>
    <x v="0"/>
    <n v="42"/>
    <x v="1"/>
    <x v="1"/>
    <n v="2"/>
    <n v="300"/>
    <x v="6"/>
    <n v="9"/>
  </r>
  <r>
    <n v="497"/>
    <x v="0"/>
    <x v="7"/>
    <n v="2"/>
    <s v="Monday"/>
    <s v="October"/>
    <m/>
    <d v="2023-10-02T00:00:00"/>
    <s v="CUST497"/>
    <x v="0"/>
    <n v="42"/>
    <x v="1"/>
    <x v="1"/>
    <n v="4"/>
    <n v="30"/>
    <x v="10"/>
    <n v="1.7999999999999998"/>
  </r>
  <r>
    <n v="498"/>
    <x v="0"/>
    <x v="10"/>
    <n v="19"/>
    <s v="Monday"/>
    <s v="June"/>
    <m/>
    <d v="2023-06-19T00:00:00"/>
    <s v="CUST498"/>
    <x v="1"/>
    <n v="42"/>
    <x v="1"/>
    <x v="1"/>
    <n v="4"/>
    <n v="25"/>
    <x v="4"/>
    <n v="1.5"/>
  </r>
  <r>
    <n v="499"/>
    <x v="0"/>
    <x v="2"/>
    <n v="15"/>
    <s v="Sunday"/>
    <s v="January"/>
    <m/>
    <d v="2023-01-15T00:00:00"/>
    <s v="CUST499"/>
    <x v="0"/>
    <n v="42"/>
    <x v="1"/>
    <x v="0"/>
    <n v="2"/>
    <n v="30"/>
    <x v="17"/>
    <n v="0.89999999999999991"/>
  </r>
  <r>
    <n v="500"/>
    <x v="0"/>
    <x v="5"/>
    <n v="1"/>
    <s v="Wednesday"/>
    <s v="March"/>
    <m/>
    <d v="2023-03-01T00:00:00"/>
    <s v="CUST500"/>
    <x v="1"/>
    <n v="42"/>
    <x v="1"/>
    <x v="0"/>
    <n v="4"/>
    <n v="25"/>
    <x v="4"/>
    <n v="1.5"/>
  </r>
  <r>
    <n v="501"/>
    <x v="0"/>
    <x v="3"/>
    <n v="14"/>
    <s v="Sunday"/>
    <s v="May"/>
    <m/>
    <d v="2023-05-14T00:00:00"/>
    <s v="CUST501"/>
    <x v="0"/>
    <n v="42"/>
    <x v="1"/>
    <x v="2"/>
    <n v="2"/>
    <n v="30"/>
    <x v="17"/>
    <n v="0.89999999999999991"/>
  </r>
  <r>
    <n v="502"/>
    <x v="0"/>
    <x v="4"/>
    <n v="2"/>
    <s v="Sunday"/>
    <s v="April"/>
    <m/>
    <d v="2023-04-02T00:00:00"/>
    <s v="CUST502"/>
    <x v="0"/>
    <n v="42"/>
    <x v="1"/>
    <x v="2"/>
    <n v="3"/>
    <n v="50"/>
    <x v="0"/>
    <n v="2.25"/>
  </r>
  <r>
    <n v="503"/>
    <x v="0"/>
    <x v="7"/>
    <n v="25"/>
    <s v="Wednesday"/>
    <s v="October"/>
    <m/>
    <d v="2023-10-25T00:00:00"/>
    <s v="CUST503"/>
    <x v="0"/>
    <n v="42"/>
    <x v="1"/>
    <x v="0"/>
    <n v="4"/>
    <n v="500"/>
    <x v="11"/>
    <n v="30"/>
  </r>
  <r>
    <n v="504"/>
    <x v="0"/>
    <x v="3"/>
    <n v="16"/>
    <s v="Tuesday"/>
    <s v="May"/>
    <m/>
    <d v="2023-05-16T00:00:00"/>
    <s v="CUST504"/>
    <x v="1"/>
    <n v="42"/>
    <x v="1"/>
    <x v="0"/>
    <n v="3"/>
    <n v="50"/>
    <x v="0"/>
    <n v="2.25"/>
  </r>
  <r>
    <n v="505"/>
    <x v="0"/>
    <x v="2"/>
    <n v="20"/>
    <s v="Friday"/>
    <s v="January"/>
    <m/>
    <d v="2023-01-20T00:00:00"/>
    <s v="CUST505"/>
    <x v="0"/>
    <n v="42"/>
    <x v="1"/>
    <x v="0"/>
    <n v="1"/>
    <n v="50"/>
    <x v="5"/>
    <n v="0.75"/>
  </r>
  <r>
    <n v="506"/>
    <x v="0"/>
    <x v="1"/>
    <n v="25"/>
    <s v="Saturday"/>
    <s v="February"/>
    <m/>
    <d v="2023-02-25T00:00:00"/>
    <s v="CUST506"/>
    <x v="0"/>
    <n v="42"/>
    <x v="1"/>
    <x v="0"/>
    <n v="3"/>
    <n v="500"/>
    <x v="9"/>
    <n v="22.5"/>
  </r>
  <r>
    <n v="507"/>
    <x v="0"/>
    <x v="0"/>
    <n v="2"/>
    <s v="Thursday"/>
    <s v="November"/>
    <m/>
    <d v="2023-11-02T00:00:00"/>
    <s v="CUST507"/>
    <x v="1"/>
    <n v="42"/>
    <x v="1"/>
    <x v="2"/>
    <n v="3"/>
    <n v="500"/>
    <x v="9"/>
    <n v="22.5"/>
  </r>
  <r>
    <n v="508"/>
    <x v="0"/>
    <x v="8"/>
    <n v="11"/>
    <s v="Friday"/>
    <s v="August"/>
    <m/>
    <d v="2023-08-11T00:00:00"/>
    <s v="CUST508"/>
    <x v="0"/>
    <n v="42"/>
    <x v="1"/>
    <x v="0"/>
    <n v="2"/>
    <n v="300"/>
    <x v="6"/>
    <n v="9"/>
  </r>
  <r>
    <n v="509"/>
    <x v="0"/>
    <x v="10"/>
    <n v="26"/>
    <s v="Monday"/>
    <s v="June"/>
    <m/>
    <d v="2023-06-26T00:00:00"/>
    <s v="CUST509"/>
    <x v="1"/>
    <n v="42"/>
    <x v="1"/>
    <x v="2"/>
    <n v="3"/>
    <n v="300"/>
    <x v="12"/>
    <n v="13.5"/>
  </r>
  <r>
    <n v="510"/>
    <x v="0"/>
    <x v="10"/>
    <n v="10"/>
    <s v="Saturday"/>
    <s v="June"/>
    <m/>
    <d v="2023-06-10T00:00:00"/>
    <s v="CUST510"/>
    <x v="1"/>
    <n v="42"/>
    <x v="1"/>
    <x v="0"/>
    <n v="4"/>
    <n v="50"/>
    <x v="7"/>
    <n v="3"/>
  </r>
  <r>
    <n v="511"/>
    <x v="0"/>
    <x v="8"/>
    <n v="12"/>
    <s v="Saturday"/>
    <s v="August"/>
    <m/>
    <d v="2023-08-12T00:00:00"/>
    <s v="CUST511"/>
    <x v="0"/>
    <n v="42"/>
    <x v="1"/>
    <x v="0"/>
    <n v="2"/>
    <n v="50"/>
    <x v="4"/>
    <n v="1.5"/>
  </r>
  <r>
    <n v="512"/>
    <x v="0"/>
    <x v="0"/>
    <n v="7"/>
    <s v="Tuesday"/>
    <s v="November"/>
    <m/>
    <d v="2023-11-07T00:00:00"/>
    <s v="CUST512"/>
    <x v="1"/>
    <n v="42"/>
    <x v="1"/>
    <x v="0"/>
    <n v="1"/>
    <n v="25"/>
    <x v="16"/>
    <n v="0.375"/>
  </r>
  <r>
    <n v="513"/>
    <x v="0"/>
    <x v="9"/>
    <n v="19"/>
    <s v="Tuesday"/>
    <s v="September"/>
    <m/>
    <d v="2023-09-19T00:00:00"/>
    <s v="CUST513"/>
    <x v="0"/>
    <n v="42"/>
    <x v="1"/>
    <x v="2"/>
    <n v="4"/>
    <n v="25"/>
    <x v="4"/>
    <n v="1.5"/>
  </r>
  <r>
    <n v="514"/>
    <x v="0"/>
    <x v="5"/>
    <n v="1"/>
    <s v="Wednesday"/>
    <s v="March"/>
    <m/>
    <d v="2023-03-01T00:00:00"/>
    <s v="CUST514"/>
    <x v="1"/>
    <n v="41"/>
    <x v="1"/>
    <x v="2"/>
    <n v="1"/>
    <n v="300"/>
    <x v="13"/>
    <n v="4.5"/>
  </r>
  <r>
    <n v="515"/>
    <x v="0"/>
    <x v="11"/>
    <n v="17"/>
    <s v="Monday"/>
    <s v="July"/>
    <m/>
    <d v="2023-07-17T00:00:00"/>
    <s v="CUST515"/>
    <x v="1"/>
    <n v="41"/>
    <x v="1"/>
    <x v="1"/>
    <n v="3"/>
    <n v="300"/>
    <x v="12"/>
    <n v="13.5"/>
  </r>
  <r>
    <n v="516"/>
    <x v="0"/>
    <x v="7"/>
    <n v="23"/>
    <s v="Monday"/>
    <s v="October"/>
    <m/>
    <d v="2023-10-23T00:00:00"/>
    <s v="CUST516"/>
    <x v="0"/>
    <n v="41"/>
    <x v="1"/>
    <x v="0"/>
    <n v="4"/>
    <n v="25"/>
    <x v="4"/>
    <n v="1.5"/>
  </r>
  <r>
    <n v="517"/>
    <x v="0"/>
    <x v="4"/>
    <n v="8"/>
    <s v="Saturday"/>
    <s v="April"/>
    <m/>
    <d v="2023-04-08T00:00:00"/>
    <s v="CUST517"/>
    <x v="1"/>
    <n v="41"/>
    <x v="1"/>
    <x v="1"/>
    <n v="4"/>
    <n v="25"/>
    <x v="4"/>
    <n v="1.5"/>
  </r>
  <r>
    <n v="518"/>
    <x v="0"/>
    <x v="3"/>
    <n v="11"/>
    <s v="Thursday"/>
    <s v="May"/>
    <m/>
    <d v="2023-05-11T00:00:00"/>
    <s v="CUST518"/>
    <x v="1"/>
    <n v="41"/>
    <x v="1"/>
    <x v="1"/>
    <n v="1"/>
    <n v="30"/>
    <x v="2"/>
    <n v="0.44999999999999996"/>
  </r>
  <r>
    <n v="519"/>
    <x v="0"/>
    <x v="2"/>
    <n v="23"/>
    <s v="Monday"/>
    <s v="January"/>
    <m/>
    <d v="2023-01-23T00:00:00"/>
    <s v="CUST519"/>
    <x v="1"/>
    <n v="41"/>
    <x v="1"/>
    <x v="2"/>
    <n v="4"/>
    <n v="30"/>
    <x v="10"/>
    <n v="1.7999999999999998"/>
  </r>
  <r>
    <n v="520"/>
    <x v="0"/>
    <x v="6"/>
    <n v="29"/>
    <s v="Friday"/>
    <s v="December"/>
    <m/>
    <d v="2023-12-29T00:00:00"/>
    <s v="CUST520"/>
    <x v="1"/>
    <n v="41"/>
    <x v="1"/>
    <x v="2"/>
    <n v="4"/>
    <n v="25"/>
    <x v="4"/>
    <n v="1.5"/>
  </r>
  <r>
    <n v="521"/>
    <x v="0"/>
    <x v="8"/>
    <n v="12"/>
    <s v="Saturday"/>
    <s v="August"/>
    <m/>
    <d v="2023-08-12T00:00:00"/>
    <s v="CUST521"/>
    <x v="1"/>
    <n v="41"/>
    <x v="1"/>
    <x v="1"/>
    <n v="4"/>
    <n v="30"/>
    <x v="10"/>
    <n v="1.7999999999999998"/>
  </r>
  <r>
    <n v="522"/>
    <x v="0"/>
    <x v="2"/>
    <n v="1"/>
    <s v="Sunday"/>
    <s v="January"/>
    <m/>
    <d v="2023-01-01T00:00:00"/>
    <s v="CUST522"/>
    <x v="0"/>
    <n v="41"/>
    <x v="1"/>
    <x v="0"/>
    <n v="3"/>
    <n v="500"/>
    <x v="9"/>
    <n v="22.5"/>
  </r>
  <r>
    <n v="523"/>
    <x v="0"/>
    <x v="9"/>
    <n v="24"/>
    <s v="Sunday"/>
    <s v="September"/>
    <m/>
    <d v="2023-09-24T00:00:00"/>
    <s v="CUST523"/>
    <x v="1"/>
    <n v="41"/>
    <x v="1"/>
    <x v="2"/>
    <n v="1"/>
    <n v="300"/>
    <x v="13"/>
    <n v="4.5"/>
  </r>
  <r>
    <n v="524"/>
    <x v="0"/>
    <x v="7"/>
    <n v="3"/>
    <s v="Tuesday"/>
    <s v="October"/>
    <m/>
    <d v="2023-10-03T00:00:00"/>
    <s v="CUST524"/>
    <x v="0"/>
    <n v="41"/>
    <x v="1"/>
    <x v="0"/>
    <n v="4"/>
    <n v="300"/>
    <x v="14"/>
    <n v="18"/>
  </r>
  <r>
    <n v="525"/>
    <x v="0"/>
    <x v="6"/>
    <n v="18"/>
    <s v="Monday"/>
    <s v="December"/>
    <m/>
    <d v="2023-12-18T00:00:00"/>
    <s v="CUST525"/>
    <x v="1"/>
    <n v="41"/>
    <x v="1"/>
    <x v="0"/>
    <n v="2"/>
    <n v="25"/>
    <x v="5"/>
    <n v="0.75"/>
  </r>
  <r>
    <n v="526"/>
    <x v="0"/>
    <x v="6"/>
    <n v="10"/>
    <s v="Sunday"/>
    <s v="December"/>
    <m/>
    <d v="2023-12-10T00:00:00"/>
    <s v="CUST526"/>
    <x v="0"/>
    <n v="41"/>
    <x v="1"/>
    <x v="1"/>
    <n v="2"/>
    <n v="50"/>
    <x v="4"/>
    <n v="1.5"/>
  </r>
  <r>
    <n v="527"/>
    <x v="0"/>
    <x v="4"/>
    <n v="11"/>
    <s v="Tuesday"/>
    <s v="April"/>
    <m/>
    <d v="2023-04-11T00:00:00"/>
    <s v="CUST527"/>
    <x v="0"/>
    <n v="41"/>
    <x v="1"/>
    <x v="1"/>
    <n v="2"/>
    <n v="25"/>
    <x v="5"/>
    <n v="0.75"/>
  </r>
  <r>
    <n v="528"/>
    <x v="0"/>
    <x v="11"/>
    <n v="6"/>
    <s v="Thursday"/>
    <s v="July"/>
    <m/>
    <d v="2023-07-06T00:00:00"/>
    <s v="CUST528"/>
    <x v="1"/>
    <n v="41"/>
    <x v="1"/>
    <x v="1"/>
    <n v="2"/>
    <n v="30"/>
    <x v="17"/>
    <n v="0.89999999999999991"/>
  </r>
  <r>
    <n v="529"/>
    <x v="0"/>
    <x v="8"/>
    <n v="9"/>
    <s v="Wednesday"/>
    <s v="August"/>
    <m/>
    <d v="2023-08-09T00:00:00"/>
    <s v="CUST529"/>
    <x v="1"/>
    <n v="41"/>
    <x v="1"/>
    <x v="1"/>
    <n v="3"/>
    <n v="50"/>
    <x v="0"/>
    <n v="2.25"/>
  </r>
  <r>
    <n v="530"/>
    <x v="0"/>
    <x v="1"/>
    <n v="5"/>
    <s v="Sunday"/>
    <s v="February"/>
    <m/>
    <d v="2023-02-05T00:00:00"/>
    <s v="CUST530"/>
    <x v="1"/>
    <n v="41"/>
    <x v="1"/>
    <x v="2"/>
    <n v="4"/>
    <n v="30"/>
    <x v="10"/>
    <n v="1.7999999999999998"/>
  </r>
  <r>
    <n v="531"/>
    <x v="0"/>
    <x v="6"/>
    <n v="7"/>
    <s v="Thursday"/>
    <s v="December"/>
    <m/>
    <d v="2023-12-07T00:00:00"/>
    <s v="CUST531"/>
    <x v="0"/>
    <n v="41"/>
    <x v="1"/>
    <x v="2"/>
    <n v="1"/>
    <n v="500"/>
    <x v="3"/>
    <n v="7.5"/>
  </r>
  <r>
    <n v="532"/>
    <x v="0"/>
    <x v="10"/>
    <n v="19"/>
    <s v="Monday"/>
    <s v="June"/>
    <m/>
    <d v="2023-06-19T00:00:00"/>
    <s v="CUST532"/>
    <x v="1"/>
    <n v="41"/>
    <x v="1"/>
    <x v="1"/>
    <n v="4"/>
    <n v="30"/>
    <x v="10"/>
    <n v="1.7999999999999998"/>
  </r>
  <r>
    <n v="533"/>
    <x v="0"/>
    <x v="0"/>
    <n v="16"/>
    <s v="Thursday"/>
    <s v="November"/>
    <m/>
    <d v="2023-11-16T00:00:00"/>
    <s v="CUST533"/>
    <x v="0"/>
    <n v="41"/>
    <x v="1"/>
    <x v="2"/>
    <n v="3"/>
    <n v="500"/>
    <x v="9"/>
    <n v="22.5"/>
  </r>
  <r>
    <n v="534"/>
    <x v="0"/>
    <x v="10"/>
    <n v="10"/>
    <s v="Saturday"/>
    <s v="June"/>
    <m/>
    <d v="2023-06-10T00:00:00"/>
    <s v="CUST534"/>
    <x v="0"/>
    <n v="41"/>
    <x v="1"/>
    <x v="1"/>
    <n v="2"/>
    <n v="500"/>
    <x v="1"/>
    <n v="15"/>
  </r>
  <r>
    <n v="535"/>
    <x v="0"/>
    <x v="6"/>
    <n v="6"/>
    <s v="Wednesday"/>
    <s v="December"/>
    <m/>
    <d v="2023-12-06T00:00:00"/>
    <s v="CUST535"/>
    <x v="0"/>
    <n v="40"/>
    <x v="1"/>
    <x v="0"/>
    <n v="3"/>
    <n v="30"/>
    <x v="15"/>
    <n v="1.3499999999999999"/>
  </r>
  <r>
    <n v="536"/>
    <x v="0"/>
    <x v="5"/>
    <n v="5"/>
    <s v="Sunday"/>
    <s v="March"/>
    <m/>
    <d v="2023-03-05T00:00:00"/>
    <s v="CUST536"/>
    <x v="1"/>
    <n v="40"/>
    <x v="1"/>
    <x v="0"/>
    <n v="4"/>
    <n v="30"/>
    <x v="10"/>
    <n v="1.7999999999999998"/>
  </r>
  <r>
    <n v="537"/>
    <x v="0"/>
    <x v="10"/>
    <n v="3"/>
    <s v="Saturday"/>
    <s v="June"/>
    <m/>
    <d v="2023-06-03T00:00:00"/>
    <s v="CUST537"/>
    <x v="1"/>
    <n v="40"/>
    <x v="1"/>
    <x v="0"/>
    <n v="1"/>
    <n v="500"/>
    <x v="3"/>
    <n v="7.5"/>
  </r>
  <r>
    <n v="538"/>
    <x v="0"/>
    <x v="9"/>
    <n v="17"/>
    <s v="Sunday"/>
    <s v="September"/>
    <m/>
    <d v="2023-09-17T00:00:00"/>
    <s v="CUST538"/>
    <x v="0"/>
    <n v="40"/>
    <x v="1"/>
    <x v="1"/>
    <n v="3"/>
    <n v="50"/>
    <x v="0"/>
    <n v="2.25"/>
  </r>
  <r>
    <n v="539"/>
    <x v="0"/>
    <x v="10"/>
    <n v="8"/>
    <s v="Thursday"/>
    <s v="June"/>
    <m/>
    <d v="2023-06-08T00:00:00"/>
    <s v="CUST539"/>
    <x v="0"/>
    <n v="40"/>
    <x v="1"/>
    <x v="0"/>
    <n v="1"/>
    <n v="500"/>
    <x v="3"/>
    <n v="7.5"/>
  </r>
  <r>
    <n v="540"/>
    <x v="0"/>
    <x v="6"/>
    <n v="8"/>
    <s v="Friday"/>
    <s v="December"/>
    <m/>
    <d v="2023-12-08T00:00:00"/>
    <s v="CUST540"/>
    <x v="1"/>
    <n v="40"/>
    <x v="1"/>
    <x v="2"/>
    <n v="3"/>
    <n v="300"/>
    <x v="12"/>
    <n v="13.5"/>
  </r>
  <r>
    <n v="541"/>
    <x v="0"/>
    <x v="11"/>
    <n v="29"/>
    <s v="Saturday"/>
    <s v="July"/>
    <m/>
    <d v="2023-07-29T00:00:00"/>
    <s v="CUST541"/>
    <x v="0"/>
    <n v="40"/>
    <x v="1"/>
    <x v="0"/>
    <n v="1"/>
    <n v="500"/>
    <x v="3"/>
    <n v="7.5"/>
  </r>
  <r>
    <n v="542"/>
    <x v="0"/>
    <x v="10"/>
    <n v="17"/>
    <s v="Saturday"/>
    <s v="June"/>
    <m/>
    <d v="2023-06-17T00:00:00"/>
    <s v="CUST542"/>
    <x v="1"/>
    <n v="40"/>
    <x v="1"/>
    <x v="0"/>
    <n v="1"/>
    <n v="50"/>
    <x v="5"/>
    <n v="0.75"/>
  </r>
  <r>
    <n v="543"/>
    <x v="0"/>
    <x v="11"/>
    <n v="26"/>
    <s v="Wednesday"/>
    <s v="July"/>
    <m/>
    <d v="2023-07-26T00:00:00"/>
    <s v="CUST543"/>
    <x v="0"/>
    <n v="40"/>
    <x v="1"/>
    <x v="0"/>
    <n v="2"/>
    <n v="300"/>
    <x v="6"/>
    <n v="9"/>
  </r>
  <r>
    <n v="544"/>
    <x v="0"/>
    <x v="6"/>
    <n v="23"/>
    <s v="Saturday"/>
    <s v="December"/>
    <m/>
    <d v="2023-12-23T00:00:00"/>
    <s v="CUST544"/>
    <x v="1"/>
    <n v="40"/>
    <x v="1"/>
    <x v="2"/>
    <n v="1"/>
    <n v="25"/>
    <x v="16"/>
    <n v="0.375"/>
  </r>
  <r>
    <n v="545"/>
    <x v="0"/>
    <x v="10"/>
    <n v="1"/>
    <s v="Thursday"/>
    <s v="June"/>
    <m/>
    <d v="2023-06-01T00:00:00"/>
    <s v="CUST545"/>
    <x v="0"/>
    <n v="40"/>
    <x v="1"/>
    <x v="1"/>
    <n v="2"/>
    <n v="25"/>
    <x v="5"/>
    <n v="0.75"/>
  </r>
  <r>
    <n v="546"/>
    <x v="0"/>
    <x v="7"/>
    <n v="11"/>
    <s v="Wednesday"/>
    <s v="October"/>
    <m/>
    <d v="2023-10-11T00:00:00"/>
    <s v="CUST546"/>
    <x v="1"/>
    <n v="40"/>
    <x v="1"/>
    <x v="2"/>
    <n v="4"/>
    <n v="50"/>
    <x v="7"/>
    <n v="3"/>
  </r>
  <r>
    <n v="547"/>
    <x v="0"/>
    <x v="5"/>
    <n v="7"/>
    <s v="Tuesday"/>
    <s v="March"/>
    <m/>
    <d v="2023-03-07T00:00:00"/>
    <s v="CUST547"/>
    <x v="0"/>
    <n v="40"/>
    <x v="1"/>
    <x v="1"/>
    <n v="4"/>
    <n v="500"/>
    <x v="11"/>
    <n v="30"/>
  </r>
  <r>
    <n v="548"/>
    <x v="0"/>
    <x v="4"/>
    <n v="9"/>
    <s v="Sunday"/>
    <s v="April"/>
    <m/>
    <d v="2023-04-09T00:00:00"/>
    <s v="CUST548"/>
    <x v="1"/>
    <n v="40"/>
    <x v="1"/>
    <x v="1"/>
    <n v="2"/>
    <n v="30"/>
    <x v="17"/>
    <n v="0.89999999999999991"/>
  </r>
  <r>
    <n v="549"/>
    <x v="0"/>
    <x v="8"/>
    <n v="4"/>
    <s v="Friday"/>
    <s v="August"/>
    <m/>
    <d v="2023-08-04T00:00:00"/>
    <s v="CUST549"/>
    <x v="1"/>
    <n v="40"/>
    <x v="1"/>
    <x v="0"/>
    <n v="2"/>
    <n v="50"/>
    <x v="4"/>
    <n v="1.5"/>
  </r>
  <r>
    <n v="550"/>
    <x v="0"/>
    <x v="6"/>
    <n v="7"/>
    <s v="Thursday"/>
    <s v="December"/>
    <m/>
    <d v="2023-12-07T00:00:00"/>
    <s v="CUST550"/>
    <x v="0"/>
    <n v="40"/>
    <x v="1"/>
    <x v="1"/>
    <n v="3"/>
    <n v="300"/>
    <x v="12"/>
    <n v="13.5"/>
  </r>
  <r>
    <n v="551"/>
    <x v="0"/>
    <x v="11"/>
    <n v="14"/>
    <s v="Friday"/>
    <s v="July"/>
    <m/>
    <d v="2023-07-14T00:00:00"/>
    <s v="CUST551"/>
    <x v="0"/>
    <n v="40"/>
    <x v="1"/>
    <x v="2"/>
    <n v="3"/>
    <n v="300"/>
    <x v="12"/>
    <n v="13.5"/>
  </r>
  <r>
    <n v="552"/>
    <x v="0"/>
    <x v="6"/>
    <n v="13"/>
    <s v="Wednesday"/>
    <s v="December"/>
    <m/>
    <d v="2023-12-13T00:00:00"/>
    <s v="CUST552"/>
    <x v="1"/>
    <n v="40"/>
    <x v="1"/>
    <x v="2"/>
    <n v="3"/>
    <n v="25"/>
    <x v="8"/>
    <n v="1.125"/>
  </r>
  <r>
    <n v="553"/>
    <x v="0"/>
    <x v="5"/>
    <n v="31"/>
    <s v="Friday"/>
    <s v="March"/>
    <m/>
    <d v="2023-03-31T00:00:00"/>
    <s v="CUST553"/>
    <x v="0"/>
    <n v="40"/>
    <x v="1"/>
    <x v="1"/>
    <n v="4"/>
    <n v="300"/>
    <x v="14"/>
    <n v="18"/>
  </r>
  <r>
    <n v="554"/>
    <x v="0"/>
    <x v="0"/>
    <n v="12"/>
    <s v="Sunday"/>
    <s v="November"/>
    <m/>
    <d v="2023-11-12T00:00:00"/>
    <s v="CUST554"/>
    <x v="1"/>
    <n v="40"/>
    <x v="1"/>
    <x v="0"/>
    <n v="3"/>
    <n v="50"/>
    <x v="0"/>
    <n v="2.25"/>
  </r>
  <r>
    <n v="555"/>
    <x v="0"/>
    <x v="7"/>
    <n v="19"/>
    <s v="Thursday"/>
    <s v="October"/>
    <m/>
    <d v="2023-10-19T00:00:00"/>
    <s v="CUST555"/>
    <x v="0"/>
    <n v="40"/>
    <x v="1"/>
    <x v="0"/>
    <n v="1"/>
    <n v="300"/>
    <x v="13"/>
    <n v="4.5"/>
  </r>
  <r>
    <n v="556"/>
    <x v="0"/>
    <x v="10"/>
    <n v="4"/>
    <s v="Sunday"/>
    <s v="June"/>
    <m/>
    <d v="2023-06-04T00:00:00"/>
    <s v="CUST556"/>
    <x v="1"/>
    <n v="40"/>
    <x v="1"/>
    <x v="2"/>
    <n v="1"/>
    <n v="50"/>
    <x v="5"/>
    <n v="0.75"/>
  </r>
  <r>
    <n v="557"/>
    <x v="0"/>
    <x v="11"/>
    <n v="27"/>
    <s v="Thursday"/>
    <s v="July"/>
    <m/>
    <d v="2023-07-27T00:00:00"/>
    <s v="CUST557"/>
    <x v="1"/>
    <n v="40"/>
    <x v="1"/>
    <x v="0"/>
    <n v="3"/>
    <n v="30"/>
    <x v="15"/>
    <n v="1.3499999999999999"/>
  </r>
  <r>
    <n v="558"/>
    <x v="0"/>
    <x v="7"/>
    <n v="8"/>
    <s v="Sunday"/>
    <s v="October"/>
    <m/>
    <d v="2023-10-08T00:00:00"/>
    <s v="CUST558"/>
    <x v="1"/>
    <n v="40"/>
    <x v="1"/>
    <x v="1"/>
    <n v="1"/>
    <n v="25"/>
    <x v="16"/>
    <n v="0.375"/>
  </r>
  <r>
    <n v="559"/>
    <x v="0"/>
    <x v="2"/>
    <n v="1"/>
    <s v="Sunday"/>
    <s v="January"/>
    <m/>
    <d v="2023-01-01T00:00:00"/>
    <s v="CUST559"/>
    <x v="1"/>
    <n v="39"/>
    <x v="1"/>
    <x v="1"/>
    <n v="4"/>
    <n v="300"/>
    <x v="14"/>
    <n v="18"/>
  </r>
  <r>
    <n v="560"/>
    <x v="0"/>
    <x v="10"/>
    <n v="5"/>
    <s v="Monday"/>
    <s v="June"/>
    <m/>
    <d v="2023-06-05T00:00:00"/>
    <s v="CUST560"/>
    <x v="1"/>
    <n v="39"/>
    <x v="1"/>
    <x v="2"/>
    <n v="1"/>
    <n v="50"/>
    <x v="5"/>
    <n v="0.75"/>
  </r>
  <r>
    <n v="561"/>
    <x v="0"/>
    <x v="3"/>
    <n v="27"/>
    <s v="Saturday"/>
    <s v="May"/>
    <m/>
    <d v="2023-05-27T00:00:00"/>
    <s v="CUST561"/>
    <x v="1"/>
    <n v="39"/>
    <x v="1"/>
    <x v="1"/>
    <n v="4"/>
    <n v="500"/>
    <x v="11"/>
    <n v="30"/>
  </r>
  <r>
    <n v="562"/>
    <x v="0"/>
    <x v="4"/>
    <n v="18"/>
    <s v="Tuesday"/>
    <s v="April"/>
    <m/>
    <d v="2023-04-18T00:00:00"/>
    <s v="CUST562"/>
    <x v="0"/>
    <n v="39"/>
    <x v="1"/>
    <x v="2"/>
    <n v="2"/>
    <n v="25"/>
    <x v="5"/>
    <n v="0.75"/>
  </r>
  <r>
    <n v="563"/>
    <x v="0"/>
    <x v="8"/>
    <n v="9"/>
    <s v="Wednesday"/>
    <s v="August"/>
    <m/>
    <d v="2023-08-09T00:00:00"/>
    <s v="CUST563"/>
    <x v="0"/>
    <n v="39"/>
    <x v="1"/>
    <x v="1"/>
    <n v="2"/>
    <n v="30"/>
    <x v="17"/>
    <n v="0.89999999999999991"/>
  </r>
  <r>
    <n v="564"/>
    <x v="0"/>
    <x v="7"/>
    <n v="24"/>
    <s v="Tuesday"/>
    <s v="October"/>
    <m/>
    <d v="2023-10-24T00:00:00"/>
    <s v="CUST564"/>
    <x v="0"/>
    <n v="39"/>
    <x v="1"/>
    <x v="2"/>
    <n v="2"/>
    <n v="50"/>
    <x v="4"/>
    <n v="1.5"/>
  </r>
  <r>
    <n v="565"/>
    <x v="0"/>
    <x v="0"/>
    <n v="7"/>
    <s v="Tuesday"/>
    <s v="November"/>
    <m/>
    <d v="2023-11-07T00:00:00"/>
    <s v="CUST565"/>
    <x v="1"/>
    <n v="39"/>
    <x v="1"/>
    <x v="0"/>
    <n v="2"/>
    <n v="30"/>
    <x v="17"/>
    <n v="0.89999999999999991"/>
  </r>
  <r>
    <n v="566"/>
    <x v="0"/>
    <x v="6"/>
    <n v="2"/>
    <s v="Saturday"/>
    <s v="December"/>
    <m/>
    <d v="2023-12-02T00:00:00"/>
    <s v="CUST566"/>
    <x v="1"/>
    <n v="39"/>
    <x v="1"/>
    <x v="1"/>
    <n v="1"/>
    <n v="30"/>
    <x v="2"/>
    <n v="0.44999999999999996"/>
  </r>
  <r>
    <n v="567"/>
    <x v="0"/>
    <x v="10"/>
    <n v="14"/>
    <s v="Wednesday"/>
    <s v="June"/>
    <m/>
    <d v="2023-06-14T00:00:00"/>
    <s v="CUST567"/>
    <x v="1"/>
    <n v="39"/>
    <x v="1"/>
    <x v="1"/>
    <n v="3"/>
    <n v="300"/>
    <x v="12"/>
    <n v="13.5"/>
  </r>
  <r>
    <n v="568"/>
    <x v="0"/>
    <x v="8"/>
    <n v="27"/>
    <s v="Sunday"/>
    <s v="August"/>
    <m/>
    <d v="2023-08-27T00:00:00"/>
    <s v="CUST568"/>
    <x v="1"/>
    <n v="39"/>
    <x v="1"/>
    <x v="2"/>
    <n v="1"/>
    <n v="300"/>
    <x v="13"/>
    <n v="4.5"/>
  </r>
  <r>
    <n v="569"/>
    <x v="0"/>
    <x v="8"/>
    <n v="15"/>
    <s v="Tuesday"/>
    <s v="August"/>
    <m/>
    <d v="2023-08-15T00:00:00"/>
    <s v="CUST569"/>
    <x v="0"/>
    <n v="39"/>
    <x v="1"/>
    <x v="2"/>
    <n v="4"/>
    <n v="50"/>
    <x v="7"/>
    <n v="3"/>
  </r>
  <r>
    <n v="570"/>
    <x v="0"/>
    <x v="8"/>
    <n v="15"/>
    <s v="Tuesday"/>
    <s v="August"/>
    <m/>
    <d v="2023-08-15T00:00:00"/>
    <s v="CUST570"/>
    <x v="0"/>
    <n v="39"/>
    <x v="1"/>
    <x v="1"/>
    <n v="1"/>
    <n v="500"/>
    <x v="3"/>
    <n v="7.5"/>
  </r>
  <r>
    <n v="571"/>
    <x v="0"/>
    <x v="6"/>
    <n v="12"/>
    <s v="Tuesday"/>
    <s v="December"/>
    <m/>
    <d v="2023-12-12T00:00:00"/>
    <s v="CUST571"/>
    <x v="1"/>
    <n v="39"/>
    <x v="1"/>
    <x v="2"/>
    <n v="1"/>
    <n v="50"/>
    <x v="5"/>
    <n v="0.75"/>
  </r>
  <r>
    <n v="572"/>
    <x v="0"/>
    <x v="4"/>
    <n v="20"/>
    <s v="Thursday"/>
    <s v="April"/>
    <m/>
    <d v="2023-04-20T00:00:00"/>
    <s v="CUST572"/>
    <x v="0"/>
    <n v="39"/>
    <x v="1"/>
    <x v="1"/>
    <n v="4"/>
    <n v="500"/>
    <x v="11"/>
    <n v="30"/>
  </r>
  <r>
    <n v="573"/>
    <x v="0"/>
    <x v="9"/>
    <n v="19"/>
    <s v="Tuesday"/>
    <s v="September"/>
    <m/>
    <d v="2023-09-19T00:00:00"/>
    <s v="CUST573"/>
    <x v="0"/>
    <n v="39"/>
    <x v="1"/>
    <x v="0"/>
    <n v="2"/>
    <n v="30"/>
    <x v="17"/>
    <n v="0.89999999999999991"/>
  </r>
  <r>
    <n v="574"/>
    <x v="0"/>
    <x v="8"/>
    <n v="31"/>
    <s v="Thursday"/>
    <s v="August"/>
    <m/>
    <d v="2023-08-31T00:00:00"/>
    <s v="CUST574"/>
    <x v="1"/>
    <n v="39"/>
    <x v="1"/>
    <x v="2"/>
    <n v="2"/>
    <n v="25"/>
    <x v="5"/>
    <n v="0.75"/>
  </r>
  <r>
    <n v="575"/>
    <x v="0"/>
    <x v="5"/>
    <n v="28"/>
    <s v="Tuesday"/>
    <s v="March"/>
    <m/>
    <d v="2023-03-28T00:00:00"/>
    <s v="CUST575"/>
    <x v="0"/>
    <n v="39"/>
    <x v="1"/>
    <x v="1"/>
    <n v="2"/>
    <n v="50"/>
    <x v="4"/>
    <n v="1.5"/>
  </r>
  <r>
    <n v="576"/>
    <x v="0"/>
    <x v="6"/>
    <n v="4"/>
    <s v="Monday"/>
    <s v="December"/>
    <m/>
    <d v="2023-12-04T00:00:00"/>
    <s v="CUST576"/>
    <x v="1"/>
    <n v="39"/>
    <x v="1"/>
    <x v="0"/>
    <n v="3"/>
    <n v="50"/>
    <x v="0"/>
    <n v="2.25"/>
  </r>
  <r>
    <n v="577"/>
    <x v="0"/>
    <x v="1"/>
    <n v="13"/>
    <s v="Monday"/>
    <s v="February"/>
    <m/>
    <d v="2023-02-13T00:00:00"/>
    <s v="CUST577"/>
    <x v="0"/>
    <n v="38"/>
    <x v="1"/>
    <x v="0"/>
    <n v="4"/>
    <n v="500"/>
    <x v="11"/>
    <n v="30"/>
  </r>
  <r>
    <n v="578"/>
    <x v="0"/>
    <x v="3"/>
    <n v="26"/>
    <s v="Friday"/>
    <s v="May"/>
    <m/>
    <d v="2023-05-26T00:00:00"/>
    <s v="CUST578"/>
    <x v="1"/>
    <n v="38"/>
    <x v="1"/>
    <x v="1"/>
    <n v="4"/>
    <n v="30"/>
    <x v="10"/>
    <n v="1.7999999999999998"/>
  </r>
  <r>
    <n v="579"/>
    <x v="0"/>
    <x v="9"/>
    <n v="21"/>
    <s v="Thursday"/>
    <s v="September"/>
    <m/>
    <d v="2023-09-21T00:00:00"/>
    <s v="CUST579"/>
    <x v="1"/>
    <n v="38"/>
    <x v="1"/>
    <x v="2"/>
    <n v="1"/>
    <n v="30"/>
    <x v="2"/>
    <n v="0.44999999999999996"/>
  </r>
  <r>
    <n v="580"/>
    <x v="0"/>
    <x v="6"/>
    <n v="6"/>
    <s v="Wednesday"/>
    <s v="December"/>
    <m/>
    <d v="2023-12-06T00:00:00"/>
    <s v="CUST580"/>
    <x v="1"/>
    <n v="38"/>
    <x v="1"/>
    <x v="1"/>
    <n v="3"/>
    <n v="500"/>
    <x v="9"/>
    <n v="22.5"/>
  </r>
  <r>
    <n v="581"/>
    <x v="0"/>
    <x v="0"/>
    <n v="21"/>
    <s v="Tuesday"/>
    <s v="November"/>
    <m/>
    <d v="2023-11-21T00:00:00"/>
    <s v="CUST581"/>
    <x v="1"/>
    <n v="38"/>
    <x v="1"/>
    <x v="0"/>
    <n v="2"/>
    <n v="30"/>
    <x v="17"/>
    <n v="0.89999999999999991"/>
  </r>
  <r>
    <n v="582"/>
    <x v="0"/>
    <x v="0"/>
    <n v="14"/>
    <s v="Tuesday"/>
    <s v="November"/>
    <m/>
    <d v="2023-11-14T00:00:00"/>
    <s v="CUST582"/>
    <x v="0"/>
    <n v="38"/>
    <x v="1"/>
    <x v="1"/>
    <n v="3"/>
    <n v="300"/>
    <x v="12"/>
    <n v="13.5"/>
  </r>
  <r>
    <n v="583"/>
    <x v="0"/>
    <x v="10"/>
    <n v="21"/>
    <s v="Wednesday"/>
    <s v="June"/>
    <m/>
    <d v="2023-06-21T00:00:00"/>
    <s v="CUST583"/>
    <x v="1"/>
    <n v="38"/>
    <x v="1"/>
    <x v="2"/>
    <n v="4"/>
    <n v="25"/>
    <x v="4"/>
    <n v="1.5"/>
  </r>
  <r>
    <n v="584"/>
    <x v="0"/>
    <x v="1"/>
    <n v="17"/>
    <s v="Friday"/>
    <s v="February"/>
    <m/>
    <d v="2023-02-17T00:00:00"/>
    <s v="CUST584"/>
    <x v="1"/>
    <n v="38"/>
    <x v="1"/>
    <x v="0"/>
    <n v="4"/>
    <n v="50"/>
    <x v="7"/>
    <n v="3"/>
  </r>
  <r>
    <n v="585"/>
    <x v="0"/>
    <x v="3"/>
    <n v="1"/>
    <s v="Monday"/>
    <s v="May"/>
    <m/>
    <d v="2023-05-01T00:00:00"/>
    <s v="CUST585"/>
    <x v="1"/>
    <n v="38"/>
    <x v="1"/>
    <x v="1"/>
    <n v="1"/>
    <n v="25"/>
    <x v="16"/>
    <n v="0.375"/>
  </r>
  <r>
    <n v="586"/>
    <x v="0"/>
    <x v="6"/>
    <n v="11"/>
    <s v="Monday"/>
    <s v="December"/>
    <m/>
    <d v="2023-12-11T00:00:00"/>
    <s v="CUST586"/>
    <x v="0"/>
    <n v="38"/>
    <x v="1"/>
    <x v="2"/>
    <n v="1"/>
    <n v="50"/>
    <x v="5"/>
    <n v="0.75"/>
  </r>
  <r>
    <n v="587"/>
    <x v="0"/>
    <x v="10"/>
    <n v="8"/>
    <s v="Thursday"/>
    <s v="June"/>
    <m/>
    <d v="2023-06-08T00:00:00"/>
    <s v="CUST587"/>
    <x v="1"/>
    <n v="38"/>
    <x v="1"/>
    <x v="0"/>
    <n v="4"/>
    <n v="300"/>
    <x v="14"/>
    <n v="18"/>
  </r>
  <r>
    <n v="588"/>
    <x v="0"/>
    <x v="4"/>
    <n v="26"/>
    <s v="Wednesday"/>
    <s v="April"/>
    <m/>
    <d v="2023-04-26T00:00:00"/>
    <s v="CUST588"/>
    <x v="0"/>
    <n v="38"/>
    <x v="1"/>
    <x v="2"/>
    <n v="2"/>
    <n v="30"/>
    <x v="17"/>
    <n v="0.89999999999999991"/>
  </r>
  <r>
    <n v="589"/>
    <x v="0"/>
    <x v="4"/>
    <n v="12"/>
    <s v="Wednesday"/>
    <s v="April"/>
    <m/>
    <d v="2023-04-12T00:00:00"/>
    <s v="CUST589"/>
    <x v="1"/>
    <n v="38"/>
    <x v="1"/>
    <x v="0"/>
    <n v="2"/>
    <n v="500"/>
    <x v="1"/>
    <n v="15"/>
  </r>
  <r>
    <n v="590"/>
    <x v="0"/>
    <x v="5"/>
    <n v="17"/>
    <s v="Friday"/>
    <s v="March"/>
    <m/>
    <d v="2023-03-17T00:00:00"/>
    <s v="CUST590"/>
    <x v="0"/>
    <n v="38"/>
    <x v="1"/>
    <x v="1"/>
    <n v="3"/>
    <n v="300"/>
    <x v="12"/>
    <n v="13.5"/>
  </r>
  <r>
    <n v="591"/>
    <x v="0"/>
    <x v="2"/>
    <n v="13"/>
    <s v="Friday"/>
    <s v="January"/>
    <m/>
    <d v="2023-01-13T00:00:00"/>
    <s v="CUST591"/>
    <x v="0"/>
    <n v="38"/>
    <x v="1"/>
    <x v="2"/>
    <n v="4"/>
    <n v="25"/>
    <x v="4"/>
    <n v="1.5"/>
  </r>
  <r>
    <n v="592"/>
    <x v="0"/>
    <x v="2"/>
    <n v="24"/>
    <s v="Tuesday"/>
    <s v="January"/>
    <m/>
    <d v="2023-01-24T00:00:00"/>
    <s v="CUST592"/>
    <x v="1"/>
    <n v="38"/>
    <x v="1"/>
    <x v="0"/>
    <n v="4"/>
    <n v="500"/>
    <x v="11"/>
    <n v="30"/>
  </r>
  <r>
    <n v="593"/>
    <x v="0"/>
    <x v="3"/>
    <n v="6"/>
    <s v="Saturday"/>
    <s v="May"/>
    <m/>
    <d v="2023-05-06T00:00:00"/>
    <s v="CUST593"/>
    <x v="0"/>
    <n v="38"/>
    <x v="1"/>
    <x v="2"/>
    <n v="2"/>
    <n v="30"/>
    <x v="17"/>
    <n v="0.89999999999999991"/>
  </r>
  <r>
    <n v="594"/>
    <x v="0"/>
    <x v="9"/>
    <n v="1"/>
    <s v="Friday"/>
    <s v="September"/>
    <m/>
    <d v="2023-09-01T00:00:00"/>
    <s v="CUST594"/>
    <x v="1"/>
    <n v="38"/>
    <x v="1"/>
    <x v="2"/>
    <n v="2"/>
    <n v="300"/>
    <x v="6"/>
    <n v="9"/>
  </r>
  <r>
    <n v="595"/>
    <x v="0"/>
    <x v="0"/>
    <n v="9"/>
    <s v="Thursday"/>
    <s v="November"/>
    <m/>
    <d v="2023-11-09T00:00:00"/>
    <s v="CUST595"/>
    <x v="1"/>
    <n v="38"/>
    <x v="1"/>
    <x v="1"/>
    <n v="4"/>
    <n v="500"/>
    <x v="11"/>
    <n v="30"/>
  </r>
  <r>
    <n v="596"/>
    <x v="0"/>
    <x v="1"/>
    <n v="7"/>
    <s v="Tuesday"/>
    <s v="February"/>
    <m/>
    <d v="2023-02-07T00:00:00"/>
    <s v="CUST596"/>
    <x v="1"/>
    <n v="37"/>
    <x v="1"/>
    <x v="2"/>
    <n v="1"/>
    <n v="300"/>
    <x v="13"/>
    <n v="4.5"/>
  </r>
  <r>
    <n v="597"/>
    <x v="0"/>
    <x v="8"/>
    <n v="22"/>
    <s v="Tuesday"/>
    <s v="August"/>
    <m/>
    <d v="2023-08-22T00:00:00"/>
    <s v="CUST597"/>
    <x v="0"/>
    <n v="37"/>
    <x v="1"/>
    <x v="0"/>
    <n v="4"/>
    <n v="300"/>
    <x v="14"/>
    <n v="18"/>
  </r>
  <r>
    <n v="598"/>
    <x v="0"/>
    <x v="8"/>
    <n v="1"/>
    <s v="Tuesday"/>
    <s v="August"/>
    <m/>
    <d v="2023-08-01T00:00:00"/>
    <s v="CUST598"/>
    <x v="0"/>
    <n v="37"/>
    <x v="1"/>
    <x v="0"/>
    <n v="4"/>
    <n v="30"/>
    <x v="10"/>
    <n v="1.7999999999999998"/>
  </r>
  <r>
    <n v="599"/>
    <x v="0"/>
    <x v="0"/>
    <n v="19"/>
    <s v="Sunday"/>
    <s v="November"/>
    <m/>
    <d v="2023-11-19T00:00:00"/>
    <s v="CUST599"/>
    <x v="1"/>
    <n v="37"/>
    <x v="1"/>
    <x v="0"/>
    <n v="2"/>
    <n v="50"/>
    <x v="4"/>
    <n v="1.5"/>
  </r>
  <r>
    <n v="600"/>
    <x v="0"/>
    <x v="7"/>
    <n v="22"/>
    <s v="Sunday"/>
    <s v="October"/>
    <m/>
    <d v="2023-10-22T00:00:00"/>
    <s v="CUST600"/>
    <x v="1"/>
    <n v="37"/>
    <x v="1"/>
    <x v="0"/>
    <n v="2"/>
    <n v="500"/>
    <x v="1"/>
    <n v="15"/>
  </r>
  <r>
    <n v="601"/>
    <x v="0"/>
    <x v="4"/>
    <n v="10"/>
    <s v="Monday"/>
    <s v="April"/>
    <m/>
    <d v="2023-04-10T00:00:00"/>
    <s v="CUST601"/>
    <x v="0"/>
    <n v="37"/>
    <x v="1"/>
    <x v="1"/>
    <n v="1"/>
    <n v="30"/>
    <x v="2"/>
    <n v="0.44999999999999996"/>
  </r>
  <r>
    <n v="602"/>
    <x v="0"/>
    <x v="6"/>
    <n v="23"/>
    <s v="Saturday"/>
    <s v="December"/>
    <m/>
    <d v="2023-12-23T00:00:00"/>
    <s v="CUST602"/>
    <x v="1"/>
    <n v="37"/>
    <x v="1"/>
    <x v="2"/>
    <n v="1"/>
    <n v="300"/>
    <x v="13"/>
    <n v="4.5"/>
  </r>
  <r>
    <n v="603"/>
    <x v="0"/>
    <x v="11"/>
    <n v="16"/>
    <s v="Sunday"/>
    <s v="July"/>
    <m/>
    <d v="2023-07-16T00:00:00"/>
    <s v="CUST603"/>
    <x v="1"/>
    <n v="37"/>
    <x v="1"/>
    <x v="1"/>
    <n v="3"/>
    <n v="30"/>
    <x v="15"/>
    <n v="1.3499999999999999"/>
  </r>
  <r>
    <n v="604"/>
    <x v="0"/>
    <x v="9"/>
    <n v="11"/>
    <s v="Monday"/>
    <s v="September"/>
    <m/>
    <d v="2023-09-11T00:00:00"/>
    <s v="CUST604"/>
    <x v="1"/>
    <n v="37"/>
    <x v="1"/>
    <x v="2"/>
    <n v="4"/>
    <n v="50"/>
    <x v="7"/>
    <n v="3"/>
  </r>
  <r>
    <n v="605"/>
    <x v="0"/>
    <x v="11"/>
    <n v="24"/>
    <s v="Monday"/>
    <s v="July"/>
    <m/>
    <d v="2023-07-24T00:00:00"/>
    <s v="CUST605"/>
    <x v="0"/>
    <n v="37"/>
    <x v="1"/>
    <x v="2"/>
    <n v="2"/>
    <n v="500"/>
    <x v="1"/>
    <n v="15"/>
  </r>
  <r>
    <n v="606"/>
    <x v="0"/>
    <x v="3"/>
    <n v="5"/>
    <s v="Friday"/>
    <s v="May"/>
    <m/>
    <d v="2023-05-05T00:00:00"/>
    <s v="CUST606"/>
    <x v="0"/>
    <n v="37"/>
    <x v="1"/>
    <x v="2"/>
    <n v="1"/>
    <n v="50"/>
    <x v="5"/>
    <n v="0.75"/>
  </r>
  <r>
    <n v="607"/>
    <x v="0"/>
    <x v="5"/>
    <n v="17"/>
    <s v="Friday"/>
    <s v="March"/>
    <m/>
    <d v="2023-03-17T00:00:00"/>
    <s v="CUST607"/>
    <x v="0"/>
    <n v="37"/>
    <x v="1"/>
    <x v="1"/>
    <n v="3"/>
    <n v="25"/>
    <x v="8"/>
    <n v="1.125"/>
  </r>
  <r>
    <n v="608"/>
    <x v="0"/>
    <x v="6"/>
    <n v="2"/>
    <s v="Saturday"/>
    <s v="December"/>
    <m/>
    <d v="2023-12-02T00:00:00"/>
    <s v="CUST608"/>
    <x v="1"/>
    <n v="37"/>
    <x v="1"/>
    <x v="2"/>
    <n v="3"/>
    <n v="500"/>
    <x v="9"/>
    <n v="22.5"/>
  </r>
  <r>
    <n v="609"/>
    <x v="0"/>
    <x v="6"/>
    <n v="19"/>
    <s v="Tuesday"/>
    <s v="December"/>
    <m/>
    <d v="2023-12-19T00:00:00"/>
    <s v="CUST609"/>
    <x v="1"/>
    <n v="37"/>
    <x v="1"/>
    <x v="1"/>
    <n v="2"/>
    <n v="50"/>
    <x v="4"/>
    <n v="1.5"/>
  </r>
  <r>
    <n v="610"/>
    <x v="0"/>
    <x v="2"/>
    <n v="3"/>
    <s v="Tuesday"/>
    <s v="January"/>
    <m/>
    <d v="2023-01-03T00:00:00"/>
    <s v="CUST610"/>
    <x v="1"/>
    <n v="37"/>
    <x v="1"/>
    <x v="0"/>
    <n v="2"/>
    <n v="300"/>
    <x v="6"/>
    <n v="9"/>
  </r>
  <r>
    <n v="611"/>
    <x v="0"/>
    <x v="1"/>
    <n v="24"/>
    <s v="Friday"/>
    <s v="February"/>
    <m/>
    <d v="2023-02-24T00:00:00"/>
    <s v="CUST611"/>
    <x v="0"/>
    <n v="37"/>
    <x v="1"/>
    <x v="0"/>
    <n v="3"/>
    <n v="500"/>
    <x v="9"/>
    <n v="22.5"/>
  </r>
  <r>
    <n v="612"/>
    <x v="0"/>
    <x v="8"/>
    <n v="6"/>
    <s v="Sunday"/>
    <s v="August"/>
    <m/>
    <d v="2023-08-06T00:00:00"/>
    <s v="CUST612"/>
    <x v="1"/>
    <n v="36"/>
    <x v="1"/>
    <x v="2"/>
    <n v="1"/>
    <n v="500"/>
    <x v="3"/>
    <n v="7.5"/>
  </r>
  <r>
    <n v="613"/>
    <x v="0"/>
    <x v="4"/>
    <n v="23"/>
    <s v="Sunday"/>
    <s v="April"/>
    <m/>
    <d v="2023-04-23T00:00:00"/>
    <s v="CUST613"/>
    <x v="1"/>
    <n v="36"/>
    <x v="1"/>
    <x v="1"/>
    <n v="3"/>
    <n v="30"/>
    <x v="15"/>
    <n v="1.3499999999999999"/>
  </r>
  <r>
    <n v="614"/>
    <x v="0"/>
    <x v="4"/>
    <n v="1"/>
    <s v="Saturday"/>
    <s v="April"/>
    <m/>
    <d v="2023-04-01T00:00:00"/>
    <s v="CUST614"/>
    <x v="1"/>
    <n v="36"/>
    <x v="1"/>
    <x v="0"/>
    <n v="4"/>
    <n v="300"/>
    <x v="14"/>
    <n v="18"/>
  </r>
  <r>
    <n v="615"/>
    <x v="0"/>
    <x v="6"/>
    <n v="23"/>
    <s v="Saturday"/>
    <s v="December"/>
    <m/>
    <d v="2023-12-23T00:00:00"/>
    <s v="CUST615"/>
    <x v="1"/>
    <n v="36"/>
    <x v="1"/>
    <x v="1"/>
    <n v="4"/>
    <n v="25"/>
    <x v="4"/>
    <n v="1.5"/>
  </r>
  <r>
    <n v="616"/>
    <x v="0"/>
    <x v="9"/>
    <n v="23"/>
    <s v="Saturday"/>
    <s v="September"/>
    <m/>
    <d v="2023-09-23T00:00:00"/>
    <s v="CUST616"/>
    <x v="0"/>
    <n v="36"/>
    <x v="1"/>
    <x v="1"/>
    <n v="2"/>
    <n v="50"/>
    <x v="4"/>
    <n v="1.5"/>
  </r>
  <r>
    <n v="617"/>
    <x v="0"/>
    <x v="8"/>
    <n v="26"/>
    <s v="Saturday"/>
    <s v="August"/>
    <m/>
    <d v="2023-08-26T00:00:00"/>
    <s v="CUST617"/>
    <x v="0"/>
    <n v="36"/>
    <x v="1"/>
    <x v="2"/>
    <n v="1"/>
    <n v="30"/>
    <x v="2"/>
    <n v="0.44999999999999996"/>
  </r>
  <r>
    <n v="618"/>
    <x v="0"/>
    <x v="2"/>
    <n v="26"/>
    <s v="Thursday"/>
    <s v="January"/>
    <m/>
    <d v="2023-01-26T00:00:00"/>
    <s v="CUST618"/>
    <x v="1"/>
    <n v="36"/>
    <x v="1"/>
    <x v="0"/>
    <n v="1"/>
    <n v="50"/>
    <x v="5"/>
    <n v="0.75"/>
  </r>
  <r>
    <n v="619"/>
    <x v="0"/>
    <x v="7"/>
    <n v="13"/>
    <s v="Friday"/>
    <s v="October"/>
    <m/>
    <d v="2023-10-13T00:00:00"/>
    <s v="CUST619"/>
    <x v="0"/>
    <n v="36"/>
    <x v="1"/>
    <x v="2"/>
    <n v="4"/>
    <n v="25"/>
    <x v="4"/>
    <n v="1.5"/>
  </r>
  <r>
    <n v="620"/>
    <x v="0"/>
    <x v="3"/>
    <n v="8"/>
    <s v="Monday"/>
    <s v="May"/>
    <m/>
    <d v="2023-05-08T00:00:00"/>
    <s v="CUST620"/>
    <x v="0"/>
    <n v="36"/>
    <x v="1"/>
    <x v="2"/>
    <n v="3"/>
    <n v="25"/>
    <x v="8"/>
    <n v="1.125"/>
  </r>
  <r>
    <n v="621"/>
    <x v="0"/>
    <x v="5"/>
    <n v="4"/>
    <s v="Saturday"/>
    <s v="March"/>
    <m/>
    <d v="2023-03-04T00:00:00"/>
    <s v="CUST621"/>
    <x v="1"/>
    <n v="36"/>
    <x v="1"/>
    <x v="0"/>
    <n v="2"/>
    <n v="500"/>
    <x v="1"/>
    <n v="15"/>
  </r>
  <r>
    <n v="622"/>
    <x v="0"/>
    <x v="8"/>
    <n v="22"/>
    <s v="Tuesday"/>
    <s v="August"/>
    <m/>
    <d v="2023-08-22T00:00:00"/>
    <s v="CUST622"/>
    <x v="1"/>
    <n v="36"/>
    <x v="1"/>
    <x v="0"/>
    <n v="3"/>
    <n v="25"/>
    <x v="8"/>
    <n v="1.125"/>
  </r>
  <r>
    <n v="623"/>
    <x v="0"/>
    <x v="5"/>
    <n v="10"/>
    <s v="Friday"/>
    <s v="March"/>
    <m/>
    <d v="2023-03-10T00:00:00"/>
    <s v="CUST623"/>
    <x v="0"/>
    <n v="36"/>
    <x v="1"/>
    <x v="1"/>
    <n v="3"/>
    <n v="50"/>
    <x v="0"/>
    <n v="2.25"/>
  </r>
  <r>
    <n v="624"/>
    <x v="0"/>
    <x v="8"/>
    <n v="26"/>
    <s v="Saturday"/>
    <s v="August"/>
    <m/>
    <d v="2023-08-26T00:00:00"/>
    <s v="CUST624"/>
    <x v="1"/>
    <n v="36"/>
    <x v="1"/>
    <x v="0"/>
    <n v="3"/>
    <n v="300"/>
    <x v="12"/>
    <n v="13.5"/>
  </r>
  <r>
    <n v="625"/>
    <x v="0"/>
    <x v="6"/>
    <n v="8"/>
    <s v="Friday"/>
    <s v="December"/>
    <m/>
    <d v="2023-12-08T00:00:00"/>
    <s v="CUST625"/>
    <x v="0"/>
    <n v="36"/>
    <x v="1"/>
    <x v="1"/>
    <n v="1"/>
    <n v="300"/>
    <x v="13"/>
    <n v="4.5"/>
  </r>
  <r>
    <n v="626"/>
    <x v="0"/>
    <x v="9"/>
    <n v="29"/>
    <s v="Friday"/>
    <s v="September"/>
    <m/>
    <d v="2023-09-29T00:00:00"/>
    <s v="CUST626"/>
    <x v="1"/>
    <n v="36"/>
    <x v="1"/>
    <x v="1"/>
    <n v="4"/>
    <n v="500"/>
    <x v="11"/>
    <n v="30"/>
  </r>
  <r>
    <n v="627"/>
    <x v="0"/>
    <x v="7"/>
    <n v="14"/>
    <s v="Saturday"/>
    <s v="October"/>
    <m/>
    <d v="2023-10-14T00:00:00"/>
    <s v="CUST627"/>
    <x v="0"/>
    <n v="35"/>
    <x v="1"/>
    <x v="1"/>
    <n v="1"/>
    <n v="50"/>
    <x v="5"/>
    <n v="0.75"/>
  </r>
  <r>
    <n v="628"/>
    <x v="0"/>
    <x v="0"/>
    <n v="1"/>
    <s v="Wednesday"/>
    <s v="November"/>
    <m/>
    <d v="2023-11-01T00:00:00"/>
    <s v="CUST628"/>
    <x v="1"/>
    <n v="35"/>
    <x v="1"/>
    <x v="0"/>
    <n v="4"/>
    <n v="50"/>
    <x v="7"/>
    <n v="3"/>
  </r>
  <r>
    <n v="629"/>
    <x v="0"/>
    <x v="10"/>
    <n v="12"/>
    <s v="Monday"/>
    <s v="June"/>
    <m/>
    <d v="2023-06-12T00:00:00"/>
    <s v="CUST629"/>
    <x v="0"/>
    <n v="35"/>
    <x v="1"/>
    <x v="2"/>
    <n v="2"/>
    <n v="25"/>
    <x v="5"/>
    <n v="0.75"/>
  </r>
  <r>
    <n v="630"/>
    <x v="0"/>
    <x v="8"/>
    <n v="15"/>
    <s v="Tuesday"/>
    <s v="August"/>
    <m/>
    <d v="2023-08-15T00:00:00"/>
    <s v="CUST630"/>
    <x v="0"/>
    <n v="35"/>
    <x v="1"/>
    <x v="1"/>
    <n v="2"/>
    <n v="50"/>
    <x v="4"/>
    <n v="1.5"/>
  </r>
  <r>
    <n v="631"/>
    <x v="0"/>
    <x v="0"/>
    <n v="10"/>
    <s v="Friday"/>
    <s v="November"/>
    <m/>
    <d v="2023-11-10T00:00:00"/>
    <s v="CUST631"/>
    <x v="0"/>
    <n v="35"/>
    <x v="1"/>
    <x v="2"/>
    <n v="3"/>
    <n v="30"/>
    <x v="15"/>
    <n v="1.3499999999999999"/>
  </r>
  <r>
    <n v="632"/>
    <x v="0"/>
    <x v="9"/>
    <n v="16"/>
    <s v="Saturday"/>
    <s v="September"/>
    <m/>
    <d v="2023-09-16T00:00:00"/>
    <s v="CUST632"/>
    <x v="1"/>
    <n v="35"/>
    <x v="1"/>
    <x v="2"/>
    <n v="4"/>
    <n v="25"/>
    <x v="4"/>
    <n v="1.5"/>
  </r>
  <r>
    <n v="633"/>
    <x v="0"/>
    <x v="8"/>
    <n v="7"/>
    <s v="Monday"/>
    <s v="August"/>
    <m/>
    <d v="2023-08-07T00:00:00"/>
    <s v="CUST633"/>
    <x v="0"/>
    <n v="35"/>
    <x v="1"/>
    <x v="0"/>
    <n v="4"/>
    <n v="30"/>
    <x v="10"/>
    <n v="1.7999999999999998"/>
  </r>
  <r>
    <n v="634"/>
    <x v="0"/>
    <x v="7"/>
    <n v="8"/>
    <s v="Sunday"/>
    <s v="October"/>
    <m/>
    <d v="2023-10-08T00:00:00"/>
    <s v="CUST634"/>
    <x v="0"/>
    <n v="35"/>
    <x v="1"/>
    <x v="2"/>
    <n v="4"/>
    <n v="500"/>
    <x v="11"/>
    <n v="30"/>
  </r>
  <r>
    <n v="635"/>
    <x v="0"/>
    <x v="8"/>
    <n v="17"/>
    <s v="Thursday"/>
    <s v="August"/>
    <m/>
    <d v="2023-08-17T00:00:00"/>
    <s v="CUST635"/>
    <x v="1"/>
    <n v="35"/>
    <x v="1"/>
    <x v="2"/>
    <n v="3"/>
    <n v="300"/>
    <x v="12"/>
    <n v="13.5"/>
  </r>
  <r>
    <n v="636"/>
    <x v="0"/>
    <x v="5"/>
    <n v="23"/>
    <s v="Thursday"/>
    <s v="March"/>
    <m/>
    <d v="2023-03-23T00:00:00"/>
    <s v="CUST636"/>
    <x v="1"/>
    <n v="35"/>
    <x v="1"/>
    <x v="0"/>
    <n v="3"/>
    <n v="500"/>
    <x v="9"/>
    <n v="22.5"/>
  </r>
  <r>
    <n v="637"/>
    <x v="0"/>
    <x v="9"/>
    <n v="1"/>
    <s v="Friday"/>
    <s v="September"/>
    <m/>
    <d v="2023-09-01T00:00:00"/>
    <s v="CUST637"/>
    <x v="0"/>
    <n v="35"/>
    <x v="1"/>
    <x v="1"/>
    <n v="2"/>
    <n v="300"/>
    <x v="6"/>
    <n v="9"/>
  </r>
  <r>
    <n v="638"/>
    <x v="0"/>
    <x v="8"/>
    <n v="19"/>
    <s v="Saturday"/>
    <s v="August"/>
    <m/>
    <d v="2023-08-19T00:00:00"/>
    <s v="CUST638"/>
    <x v="0"/>
    <n v="35"/>
    <x v="1"/>
    <x v="2"/>
    <n v="1"/>
    <n v="500"/>
    <x v="3"/>
    <n v="7.5"/>
  </r>
  <r>
    <n v="639"/>
    <x v="0"/>
    <x v="3"/>
    <n v="13"/>
    <s v="Saturday"/>
    <s v="May"/>
    <m/>
    <d v="2023-05-13T00:00:00"/>
    <s v="CUST639"/>
    <x v="1"/>
    <n v="35"/>
    <x v="1"/>
    <x v="0"/>
    <n v="4"/>
    <n v="50"/>
    <x v="7"/>
    <n v="3"/>
  </r>
  <r>
    <n v="640"/>
    <x v="0"/>
    <x v="3"/>
    <n v="7"/>
    <s v="Sunday"/>
    <s v="May"/>
    <m/>
    <d v="2023-05-07T00:00:00"/>
    <s v="CUST640"/>
    <x v="1"/>
    <n v="35"/>
    <x v="1"/>
    <x v="2"/>
    <n v="4"/>
    <n v="30"/>
    <x v="10"/>
    <n v="1.7999999999999998"/>
  </r>
  <r>
    <n v="641"/>
    <x v="0"/>
    <x v="0"/>
    <n v="23"/>
    <s v="Thursday"/>
    <s v="November"/>
    <m/>
    <d v="2023-11-23T00:00:00"/>
    <s v="CUST641"/>
    <x v="1"/>
    <n v="35"/>
    <x v="1"/>
    <x v="2"/>
    <n v="1"/>
    <n v="300"/>
    <x v="13"/>
    <n v="4.5"/>
  </r>
  <r>
    <n v="642"/>
    <x v="0"/>
    <x v="3"/>
    <n v="22"/>
    <s v="Monday"/>
    <s v="May"/>
    <m/>
    <d v="2023-05-22T00:00:00"/>
    <s v="CUST642"/>
    <x v="1"/>
    <n v="35"/>
    <x v="1"/>
    <x v="1"/>
    <n v="4"/>
    <n v="25"/>
    <x v="4"/>
    <n v="1.5"/>
  </r>
  <r>
    <n v="643"/>
    <x v="0"/>
    <x v="9"/>
    <n v="24"/>
    <s v="Sunday"/>
    <s v="September"/>
    <m/>
    <d v="2023-09-24T00:00:00"/>
    <s v="CUST643"/>
    <x v="1"/>
    <n v="35"/>
    <x v="1"/>
    <x v="2"/>
    <n v="3"/>
    <n v="30"/>
    <x v="15"/>
    <n v="1.3499999999999999"/>
  </r>
  <r>
    <n v="644"/>
    <x v="0"/>
    <x v="9"/>
    <n v="6"/>
    <s v="Wednesday"/>
    <s v="September"/>
    <m/>
    <d v="2023-09-06T00:00:00"/>
    <s v="CUST644"/>
    <x v="0"/>
    <n v="35"/>
    <x v="1"/>
    <x v="0"/>
    <n v="3"/>
    <n v="25"/>
    <x v="8"/>
    <n v="1.125"/>
  </r>
  <r>
    <n v="645"/>
    <x v="0"/>
    <x v="0"/>
    <n v="17"/>
    <s v="Friday"/>
    <s v="November"/>
    <m/>
    <d v="2023-11-17T00:00:00"/>
    <s v="CUST645"/>
    <x v="1"/>
    <n v="35"/>
    <x v="1"/>
    <x v="2"/>
    <n v="4"/>
    <n v="30"/>
    <x v="10"/>
    <n v="1.7999999999999998"/>
  </r>
  <r>
    <n v="646"/>
    <x v="0"/>
    <x v="3"/>
    <n v="3"/>
    <s v="Wednesday"/>
    <s v="May"/>
    <m/>
    <d v="2023-05-03T00:00:00"/>
    <s v="CUST646"/>
    <x v="0"/>
    <n v="35"/>
    <x v="1"/>
    <x v="1"/>
    <n v="3"/>
    <n v="30"/>
    <x v="15"/>
    <n v="1.3499999999999999"/>
  </r>
  <r>
    <n v="647"/>
    <x v="0"/>
    <x v="3"/>
    <n v="21"/>
    <s v="Sunday"/>
    <s v="May"/>
    <m/>
    <d v="2023-05-21T00:00:00"/>
    <s v="CUST647"/>
    <x v="0"/>
    <n v="35"/>
    <x v="1"/>
    <x v="1"/>
    <n v="3"/>
    <n v="500"/>
    <x v="9"/>
    <n v="22.5"/>
  </r>
  <r>
    <n v="648"/>
    <x v="0"/>
    <x v="8"/>
    <n v="14"/>
    <s v="Monday"/>
    <s v="August"/>
    <m/>
    <d v="2023-08-14T00:00:00"/>
    <s v="CUST648"/>
    <x v="0"/>
    <n v="35"/>
    <x v="1"/>
    <x v="0"/>
    <n v="4"/>
    <n v="300"/>
    <x v="14"/>
    <n v="18"/>
  </r>
  <r>
    <n v="649"/>
    <x v="0"/>
    <x v="1"/>
    <n v="9"/>
    <s v="Thursday"/>
    <s v="February"/>
    <m/>
    <d v="2023-02-09T00:00:00"/>
    <s v="CUST649"/>
    <x v="1"/>
    <n v="34"/>
    <x v="1"/>
    <x v="1"/>
    <n v="2"/>
    <n v="300"/>
    <x v="6"/>
    <n v="9"/>
  </r>
  <r>
    <n v="651"/>
    <x v="0"/>
    <x v="3"/>
    <n v="27"/>
    <s v="Saturday"/>
    <s v="May"/>
    <m/>
    <d v="2023-05-27T00:00:00"/>
    <s v="CUST651"/>
    <x v="0"/>
    <n v="34"/>
    <x v="1"/>
    <x v="1"/>
    <n v="3"/>
    <n v="50"/>
    <x v="0"/>
    <n v="2.25"/>
  </r>
  <r>
    <n v="652"/>
    <x v="0"/>
    <x v="3"/>
    <n v="1"/>
    <s v="Monday"/>
    <s v="May"/>
    <m/>
    <d v="2023-05-01T00:00:00"/>
    <s v="CUST652"/>
    <x v="1"/>
    <n v="34"/>
    <x v="1"/>
    <x v="0"/>
    <n v="2"/>
    <n v="50"/>
    <x v="4"/>
    <n v="1.5"/>
  </r>
  <r>
    <n v="653"/>
    <x v="0"/>
    <x v="3"/>
    <n v="20"/>
    <s v="Saturday"/>
    <s v="May"/>
    <m/>
    <d v="2023-05-20T00:00:00"/>
    <s v="CUST653"/>
    <x v="0"/>
    <n v="34"/>
    <x v="1"/>
    <x v="1"/>
    <n v="3"/>
    <n v="25"/>
    <x v="8"/>
    <n v="1.125"/>
  </r>
  <r>
    <n v="654"/>
    <x v="0"/>
    <x v="10"/>
    <n v="21"/>
    <s v="Wednesday"/>
    <s v="June"/>
    <m/>
    <d v="2023-06-21T00:00:00"/>
    <s v="CUST654"/>
    <x v="0"/>
    <n v="34"/>
    <x v="1"/>
    <x v="1"/>
    <n v="3"/>
    <n v="25"/>
    <x v="8"/>
    <n v="1.125"/>
  </r>
  <r>
    <n v="655"/>
    <x v="0"/>
    <x v="10"/>
    <n v="13"/>
    <s v="Tuesday"/>
    <s v="June"/>
    <m/>
    <d v="2023-06-13T00:00:00"/>
    <s v="CUST655"/>
    <x v="1"/>
    <n v="34"/>
    <x v="1"/>
    <x v="1"/>
    <n v="1"/>
    <n v="500"/>
    <x v="3"/>
    <n v="7.5"/>
  </r>
  <r>
    <n v="656"/>
    <x v="0"/>
    <x v="7"/>
    <n v="4"/>
    <s v="Wednesday"/>
    <s v="October"/>
    <m/>
    <d v="2023-10-04T00:00:00"/>
    <s v="CUST656"/>
    <x v="0"/>
    <n v="34"/>
    <x v="1"/>
    <x v="0"/>
    <n v="3"/>
    <n v="30"/>
    <x v="15"/>
    <n v="1.3499999999999999"/>
  </r>
  <r>
    <n v="657"/>
    <x v="0"/>
    <x v="1"/>
    <n v="11"/>
    <s v="Saturday"/>
    <s v="February"/>
    <m/>
    <d v="2023-02-11T00:00:00"/>
    <s v="CUST657"/>
    <x v="0"/>
    <n v="34"/>
    <x v="1"/>
    <x v="1"/>
    <n v="1"/>
    <n v="25"/>
    <x v="16"/>
    <n v="0.375"/>
  </r>
  <r>
    <n v="658"/>
    <x v="0"/>
    <x v="5"/>
    <n v="12"/>
    <s v="Sunday"/>
    <s v="March"/>
    <m/>
    <d v="2023-03-12T00:00:00"/>
    <s v="CUST658"/>
    <x v="0"/>
    <n v="34"/>
    <x v="1"/>
    <x v="1"/>
    <n v="1"/>
    <n v="25"/>
    <x v="16"/>
    <n v="0.375"/>
  </r>
  <r>
    <n v="659"/>
    <x v="0"/>
    <x v="5"/>
    <n v="19"/>
    <s v="Sunday"/>
    <s v="March"/>
    <m/>
    <d v="2023-03-19T00:00:00"/>
    <s v="CUST659"/>
    <x v="1"/>
    <n v="34"/>
    <x v="1"/>
    <x v="2"/>
    <n v="1"/>
    <n v="30"/>
    <x v="2"/>
    <n v="0.44999999999999996"/>
  </r>
  <r>
    <n v="660"/>
    <x v="0"/>
    <x v="4"/>
    <n v="29"/>
    <s v="Saturday"/>
    <s v="April"/>
    <m/>
    <d v="2023-04-29T00:00:00"/>
    <s v="CUST660"/>
    <x v="1"/>
    <n v="34"/>
    <x v="1"/>
    <x v="0"/>
    <n v="2"/>
    <n v="500"/>
    <x v="1"/>
    <n v="15"/>
  </r>
  <r>
    <n v="661"/>
    <x v="0"/>
    <x v="11"/>
    <n v="16"/>
    <s v="Sunday"/>
    <s v="July"/>
    <m/>
    <d v="2023-07-16T00:00:00"/>
    <s v="CUST661"/>
    <x v="1"/>
    <n v="34"/>
    <x v="1"/>
    <x v="1"/>
    <n v="4"/>
    <n v="25"/>
    <x v="4"/>
    <n v="1.5"/>
  </r>
  <r>
    <n v="662"/>
    <x v="0"/>
    <x v="6"/>
    <n v="22"/>
    <s v="Friday"/>
    <s v="December"/>
    <m/>
    <d v="2023-12-22T00:00:00"/>
    <s v="CUST662"/>
    <x v="0"/>
    <n v="34"/>
    <x v="1"/>
    <x v="0"/>
    <n v="2"/>
    <n v="500"/>
    <x v="1"/>
    <n v="15"/>
  </r>
  <r>
    <n v="663"/>
    <x v="0"/>
    <x v="5"/>
    <n v="20"/>
    <s v="Monday"/>
    <s v="March"/>
    <m/>
    <d v="2023-03-20T00:00:00"/>
    <s v="CUST663"/>
    <x v="0"/>
    <n v="34"/>
    <x v="1"/>
    <x v="1"/>
    <n v="4"/>
    <n v="300"/>
    <x v="14"/>
    <n v="18"/>
  </r>
  <r>
    <n v="664"/>
    <x v="0"/>
    <x v="6"/>
    <n v="28"/>
    <s v="Thursday"/>
    <s v="December"/>
    <m/>
    <d v="2023-12-28T00:00:00"/>
    <s v="CUST664"/>
    <x v="1"/>
    <n v="34"/>
    <x v="1"/>
    <x v="1"/>
    <n v="4"/>
    <n v="500"/>
    <x v="11"/>
    <n v="30"/>
  </r>
  <r>
    <n v="665"/>
    <x v="0"/>
    <x v="4"/>
    <n v="20"/>
    <s v="Thursday"/>
    <s v="April"/>
    <m/>
    <d v="2023-04-20T00:00:00"/>
    <s v="CUST665"/>
    <x v="0"/>
    <n v="34"/>
    <x v="1"/>
    <x v="1"/>
    <n v="1"/>
    <n v="50"/>
    <x v="5"/>
    <n v="0.75"/>
  </r>
  <r>
    <n v="666"/>
    <x v="0"/>
    <x v="1"/>
    <n v="2"/>
    <s v="Thursday"/>
    <s v="February"/>
    <m/>
    <d v="2023-02-02T00:00:00"/>
    <s v="CUST666"/>
    <x v="0"/>
    <n v="34"/>
    <x v="1"/>
    <x v="2"/>
    <n v="3"/>
    <n v="50"/>
    <x v="0"/>
    <n v="2.25"/>
  </r>
  <r>
    <n v="667"/>
    <x v="0"/>
    <x v="8"/>
    <n v="1"/>
    <s v="Tuesday"/>
    <s v="August"/>
    <m/>
    <d v="2023-08-01T00:00:00"/>
    <s v="CUST667"/>
    <x v="1"/>
    <n v="34"/>
    <x v="1"/>
    <x v="2"/>
    <n v="1"/>
    <n v="500"/>
    <x v="3"/>
    <n v="7.5"/>
  </r>
  <r>
    <n v="668"/>
    <x v="0"/>
    <x v="11"/>
    <n v="28"/>
    <s v="Friday"/>
    <s v="July"/>
    <m/>
    <d v="2023-07-28T00:00:00"/>
    <s v="CUST668"/>
    <x v="1"/>
    <n v="34"/>
    <x v="1"/>
    <x v="2"/>
    <n v="3"/>
    <n v="50"/>
    <x v="0"/>
    <n v="2.25"/>
  </r>
  <r>
    <n v="669"/>
    <x v="0"/>
    <x v="10"/>
    <n v="19"/>
    <s v="Monday"/>
    <s v="June"/>
    <m/>
    <d v="2023-06-19T00:00:00"/>
    <s v="CUST669"/>
    <x v="0"/>
    <n v="34"/>
    <x v="1"/>
    <x v="0"/>
    <n v="4"/>
    <n v="300"/>
    <x v="14"/>
    <n v="18"/>
  </r>
  <r>
    <n v="670"/>
    <x v="0"/>
    <x v="7"/>
    <n v="5"/>
    <s v="Thursday"/>
    <s v="October"/>
    <m/>
    <d v="2023-10-05T00:00:00"/>
    <s v="CUST670"/>
    <x v="0"/>
    <n v="34"/>
    <x v="1"/>
    <x v="0"/>
    <n v="1"/>
    <n v="30"/>
    <x v="2"/>
    <n v="0.44999999999999996"/>
  </r>
  <r>
    <n v="671"/>
    <x v="0"/>
    <x v="8"/>
    <n v="27"/>
    <s v="Sunday"/>
    <s v="August"/>
    <m/>
    <d v="2023-08-27T00:00:00"/>
    <s v="CUST671"/>
    <x v="0"/>
    <n v="34"/>
    <x v="1"/>
    <x v="2"/>
    <n v="3"/>
    <n v="50"/>
    <x v="0"/>
    <n v="2.25"/>
  </r>
  <r>
    <n v="672"/>
    <x v="0"/>
    <x v="8"/>
    <n v="1"/>
    <s v="Tuesday"/>
    <s v="August"/>
    <m/>
    <d v="2023-08-01T00:00:00"/>
    <s v="CUST672"/>
    <x v="1"/>
    <n v="34"/>
    <x v="1"/>
    <x v="0"/>
    <n v="2"/>
    <n v="50"/>
    <x v="4"/>
    <n v="1.5"/>
  </r>
  <r>
    <n v="673"/>
    <x v="0"/>
    <x v="1"/>
    <n v="1"/>
    <s v="Wednesday"/>
    <s v="February"/>
    <m/>
    <d v="2023-02-01T00:00:00"/>
    <s v="CUST673"/>
    <x v="1"/>
    <n v="34"/>
    <x v="1"/>
    <x v="1"/>
    <n v="3"/>
    <n v="500"/>
    <x v="9"/>
    <n v="22.5"/>
  </r>
  <r>
    <n v="674"/>
    <x v="0"/>
    <x v="4"/>
    <n v="16"/>
    <s v="Sunday"/>
    <s v="April"/>
    <m/>
    <d v="2023-04-16T00:00:00"/>
    <s v="CUST674"/>
    <x v="1"/>
    <n v="34"/>
    <x v="1"/>
    <x v="1"/>
    <n v="1"/>
    <n v="300"/>
    <x v="13"/>
    <n v="4.5"/>
  </r>
  <r>
    <n v="675"/>
    <x v="0"/>
    <x v="8"/>
    <n v="4"/>
    <s v="Friday"/>
    <s v="August"/>
    <m/>
    <d v="2023-08-04T00:00:00"/>
    <s v="CUST675"/>
    <x v="1"/>
    <n v="34"/>
    <x v="1"/>
    <x v="1"/>
    <n v="2"/>
    <n v="30"/>
    <x v="17"/>
    <n v="0.89999999999999991"/>
  </r>
  <r>
    <n v="676"/>
    <x v="0"/>
    <x v="11"/>
    <n v="19"/>
    <s v="Wednesday"/>
    <s v="July"/>
    <m/>
    <d v="2023-07-19T00:00:00"/>
    <s v="CUST676"/>
    <x v="0"/>
    <n v="34"/>
    <x v="1"/>
    <x v="2"/>
    <n v="3"/>
    <n v="500"/>
    <x v="9"/>
    <n v="22.5"/>
  </r>
  <r>
    <n v="677"/>
    <x v="0"/>
    <x v="7"/>
    <n v="27"/>
    <s v="Friday"/>
    <s v="October"/>
    <m/>
    <d v="2023-10-27T00:00:00"/>
    <s v="CUST677"/>
    <x v="1"/>
    <n v="33"/>
    <x v="1"/>
    <x v="0"/>
    <n v="3"/>
    <n v="500"/>
    <x v="9"/>
    <n v="22.5"/>
  </r>
  <r>
    <n v="678"/>
    <x v="0"/>
    <x v="6"/>
    <n v="23"/>
    <s v="Saturday"/>
    <s v="December"/>
    <m/>
    <d v="2023-12-23T00:00:00"/>
    <s v="CUST678"/>
    <x v="1"/>
    <n v="33"/>
    <x v="1"/>
    <x v="2"/>
    <n v="3"/>
    <n v="300"/>
    <x v="12"/>
    <n v="13.5"/>
  </r>
  <r>
    <n v="679"/>
    <x v="0"/>
    <x v="2"/>
    <n v="11"/>
    <s v="Wednesday"/>
    <s v="January"/>
    <m/>
    <d v="2023-01-11T00:00:00"/>
    <s v="CUST679"/>
    <x v="1"/>
    <n v="33"/>
    <x v="1"/>
    <x v="0"/>
    <n v="3"/>
    <n v="30"/>
    <x v="15"/>
    <n v="1.3499999999999999"/>
  </r>
  <r>
    <n v="680"/>
    <x v="0"/>
    <x v="7"/>
    <n v="22"/>
    <s v="Sunday"/>
    <s v="October"/>
    <m/>
    <d v="2023-10-22T00:00:00"/>
    <s v="CUST680"/>
    <x v="1"/>
    <n v="33"/>
    <x v="1"/>
    <x v="1"/>
    <n v="3"/>
    <n v="300"/>
    <x v="12"/>
    <n v="13.5"/>
  </r>
  <r>
    <n v="681"/>
    <x v="0"/>
    <x v="11"/>
    <n v="14"/>
    <s v="Friday"/>
    <s v="July"/>
    <m/>
    <d v="2023-07-14T00:00:00"/>
    <s v="CUST681"/>
    <x v="1"/>
    <n v="33"/>
    <x v="1"/>
    <x v="2"/>
    <n v="2"/>
    <n v="30"/>
    <x v="17"/>
    <n v="0.89999999999999991"/>
  </r>
  <r>
    <n v="682"/>
    <x v="0"/>
    <x v="9"/>
    <n v="2"/>
    <s v="Saturday"/>
    <s v="September"/>
    <m/>
    <d v="2023-09-02T00:00:00"/>
    <s v="CUST682"/>
    <x v="0"/>
    <n v="33"/>
    <x v="1"/>
    <x v="0"/>
    <n v="4"/>
    <n v="300"/>
    <x v="14"/>
    <n v="18"/>
  </r>
  <r>
    <n v="683"/>
    <x v="0"/>
    <x v="2"/>
    <n v="4"/>
    <s v="Wednesday"/>
    <s v="January"/>
    <m/>
    <d v="2023-01-04T00:00:00"/>
    <s v="CUST683"/>
    <x v="0"/>
    <n v="33"/>
    <x v="1"/>
    <x v="0"/>
    <n v="2"/>
    <n v="500"/>
    <x v="1"/>
    <n v="15"/>
  </r>
  <r>
    <n v="684"/>
    <x v="0"/>
    <x v="10"/>
    <n v="30"/>
    <s v="Friday"/>
    <s v="June"/>
    <m/>
    <d v="2023-06-30T00:00:00"/>
    <s v="CUST684"/>
    <x v="1"/>
    <n v="33"/>
    <x v="1"/>
    <x v="1"/>
    <n v="2"/>
    <n v="500"/>
    <x v="1"/>
    <n v="15"/>
  </r>
  <r>
    <n v="685"/>
    <x v="0"/>
    <x v="10"/>
    <n v="2"/>
    <s v="Friday"/>
    <s v="June"/>
    <m/>
    <d v="2023-06-02T00:00:00"/>
    <s v="CUST685"/>
    <x v="0"/>
    <n v="33"/>
    <x v="1"/>
    <x v="2"/>
    <n v="2"/>
    <n v="25"/>
    <x v="5"/>
    <n v="0.75"/>
  </r>
  <r>
    <n v="686"/>
    <x v="0"/>
    <x v="11"/>
    <n v="19"/>
    <s v="Wednesday"/>
    <s v="July"/>
    <m/>
    <d v="2023-07-19T00:00:00"/>
    <s v="CUST686"/>
    <x v="1"/>
    <n v="33"/>
    <x v="1"/>
    <x v="2"/>
    <n v="4"/>
    <n v="50"/>
    <x v="7"/>
    <n v="3"/>
  </r>
  <r>
    <n v="687"/>
    <x v="0"/>
    <x v="8"/>
    <n v="3"/>
    <s v="Thursday"/>
    <s v="August"/>
    <m/>
    <d v="2023-08-03T00:00:00"/>
    <s v="CUST687"/>
    <x v="1"/>
    <n v="32"/>
    <x v="1"/>
    <x v="2"/>
    <n v="1"/>
    <n v="300"/>
    <x v="13"/>
    <n v="4.5"/>
  </r>
  <r>
    <n v="688"/>
    <x v="0"/>
    <x v="7"/>
    <n v="3"/>
    <s v="Tuesday"/>
    <s v="October"/>
    <m/>
    <d v="2023-10-03T00:00:00"/>
    <s v="CUST688"/>
    <x v="0"/>
    <n v="32"/>
    <x v="1"/>
    <x v="1"/>
    <n v="4"/>
    <n v="25"/>
    <x v="4"/>
    <n v="1.5"/>
  </r>
  <r>
    <n v="689"/>
    <x v="0"/>
    <x v="7"/>
    <n v="7"/>
    <s v="Saturday"/>
    <s v="October"/>
    <m/>
    <d v="2023-10-07T00:00:00"/>
    <s v="CUST689"/>
    <x v="0"/>
    <n v="32"/>
    <x v="1"/>
    <x v="2"/>
    <n v="2"/>
    <n v="50"/>
    <x v="4"/>
    <n v="1.5"/>
  </r>
  <r>
    <n v="690"/>
    <x v="0"/>
    <x v="0"/>
    <n v="5"/>
    <s v="Sunday"/>
    <s v="November"/>
    <m/>
    <d v="2023-11-05T00:00:00"/>
    <s v="CUST690"/>
    <x v="1"/>
    <n v="32"/>
    <x v="1"/>
    <x v="1"/>
    <n v="3"/>
    <n v="300"/>
    <x v="12"/>
    <n v="13.5"/>
  </r>
  <r>
    <n v="691"/>
    <x v="0"/>
    <x v="4"/>
    <n v="23"/>
    <s v="Sunday"/>
    <s v="April"/>
    <m/>
    <d v="2023-04-23T00:00:00"/>
    <s v="CUST691"/>
    <x v="1"/>
    <n v="32"/>
    <x v="1"/>
    <x v="1"/>
    <n v="3"/>
    <n v="30"/>
    <x v="15"/>
    <n v="1.3499999999999999"/>
  </r>
  <r>
    <n v="692"/>
    <x v="0"/>
    <x v="9"/>
    <n v="7"/>
    <s v="Thursday"/>
    <s v="September"/>
    <m/>
    <d v="2023-09-07T00:00:00"/>
    <s v="CUST692"/>
    <x v="1"/>
    <n v="32"/>
    <x v="1"/>
    <x v="1"/>
    <n v="2"/>
    <n v="50"/>
    <x v="4"/>
    <n v="1.5"/>
  </r>
  <r>
    <n v="693"/>
    <x v="0"/>
    <x v="4"/>
    <n v="23"/>
    <s v="Sunday"/>
    <s v="April"/>
    <m/>
    <d v="2023-04-23T00:00:00"/>
    <s v="CUST693"/>
    <x v="0"/>
    <n v="32"/>
    <x v="1"/>
    <x v="0"/>
    <n v="3"/>
    <n v="500"/>
    <x v="9"/>
    <n v="22.5"/>
  </r>
  <r>
    <n v="694"/>
    <x v="0"/>
    <x v="3"/>
    <n v="20"/>
    <s v="Saturday"/>
    <s v="May"/>
    <m/>
    <d v="2023-05-20T00:00:00"/>
    <s v="CUST694"/>
    <x v="1"/>
    <n v="32"/>
    <x v="1"/>
    <x v="2"/>
    <n v="2"/>
    <n v="25"/>
    <x v="5"/>
    <n v="0.75"/>
  </r>
  <r>
    <n v="695"/>
    <x v="0"/>
    <x v="8"/>
    <n v="12"/>
    <s v="Saturday"/>
    <s v="August"/>
    <m/>
    <d v="2023-08-12T00:00:00"/>
    <s v="CUST695"/>
    <x v="1"/>
    <n v="32"/>
    <x v="1"/>
    <x v="2"/>
    <n v="3"/>
    <n v="50"/>
    <x v="0"/>
    <n v="2.25"/>
  </r>
  <r>
    <n v="696"/>
    <x v="0"/>
    <x v="9"/>
    <n v="6"/>
    <s v="Wednesday"/>
    <s v="September"/>
    <m/>
    <d v="2023-09-06T00:00:00"/>
    <s v="CUST696"/>
    <x v="1"/>
    <n v="32"/>
    <x v="1"/>
    <x v="1"/>
    <n v="4"/>
    <n v="50"/>
    <x v="7"/>
    <n v="3"/>
  </r>
  <r>
    <n v="697"/>
    <x v="0"/>
    <x v="2"/>
    <n v="15"/>
    <s v="Sunday"/>
    <s v="January"/>
    <m/>
    <d v="2023-01-15T00:00:00"/>
    <s v="CUST697"/>
    <x v="0"/>
    <n v="32"/>
    <x v="1"/>
    <x v="1"/>
    <n v="1"/>
    <n v="500"/>
    <x v="3"/>
    <n v="7.5"/>
  </r>
  <r>
    <n v="698"/>
    <x v="0"/>
    <x v="11"/>
    <n v="19"/>
    <s v="Wednesday"/>
    <s v="July"/>
    <m/>
    <d v="2023-07-19T00:00:00"/>
    <s v="CUST698"/>
    <x v="1"/>
    <n v="32"/>
    <x v="1"/>
    <x v="2"/>
    <n v="1"/>
    <n v="300"/>
    <x v="13"/>
    <n v="4.5"/>
  </r>
  <r>
    <n v="699"/>
    <x v="0"/>
    <x v="10"/>
    <n v="22"/>
    <s v="Thursday"/>
    <s v="June"/>
    <m/>
    <d v="2023-06-22T00:00:00"/>
    <s v="CUST699"/>
    <x v="1"/>
    <n v="32"/>
    <x v="1"/>
    <x v="1"/>
    <n v="4"/>
    <n v="30"/>
    <x v="10"/>
    <n v="1.7999999999999998"/>
  </r>
  <r>
    <n v="700"/>
    <x v="0"/>
    <x v="6"/>
    <n v="9"/>
    <s v="Saturday"/>
    <s v="December"/>
    <m/>
    <d v="2023-12-09T00:00:00"/>
    <s v="CUST700"/>
    <x v="0"/>
    <n v="32"/>
    <x v="1"/>
    <x v="2"/>
    <n v="4"/>
    <n v="500"/>
    <x v="11"/>
    <n v="30"/>
  </r>
  <r>
    <n v="701"/>
    <x v="0"/>
    <x v="6"/>
    <n v="14"/>
    <s v="Thursday"/>
    <s v="December"/>
    <m/>
    <d v="2023-12-14T00:00:00"/>
    <s v="CUST701"/>
    <x v="1"/>
    <n v="32"/>
    <x v="1"/>
    <x v="0"/>
    <n v="2"/>
    <n v="30"/>
    <x v="17"/>
    <n v="0.89999999999999991"/>
  </r>
  <r>
    <n v="702"/>
    <x v="0"/>
    <x v="11"/>
    <n v="27"/>
    <s v="Thursday"/>
    <s v="July"/>
    <m/>
    <d v="2023-07-27T00:00:00"/>
    <s v="CUST702"/>
    <x v="1"/>
    <n v="32"/>
    <x v="1"/>
    <x v="1"/>
    <n v="2"/>
    <n v="300"/>
    <x v="6"/>
    <n v="9"/>
  </r>
  <r>
    <n v="703"/>
    <x v="0"/>
    <x v="5"/>
    <n v="26"/>
    <s v="Sunday"/>
    <s v="March"/>
    <m/>
    <d v="2023-03-26T00:00:00"/>
    <s v="CUST703"/>
    <x v="0"/>
    <n v="32"/>
    <x v="1"/>
    <x v="2"/>
    <n v="2"/>
    <n v="50"/>
    <x v="4"/>
    <n v="1.5"/>
  </r>
  <r>
    <n v="704"/>
    <x v="0"/>
    <x v="8"/>
    <n v="28"/>
    <s v="Monday"/>
    <s v="August"/>
    <m/>
    <d v="2023-08-28T00:00:00"/>
    <s v="CUST704"/>
    <x v="1"/>
    <n v="32"/>
    <x v="1"/>
    <x v="1"/>
    <n v="3"/>
    <n v="30"/>
    <x v="15"/>
    <n v="1.3499999999999999"/>
  </r>
  <r>
    <n v="705"/>
    <x v="0"/>
    <x v="5"/>
    <n v="7"/>
    <s v="Tuesday"/>
    <s v="March"/>
    <m/>
    <d v="2023-03-07T00:00:00"/>
    <s v="CUST705"/>
    <x v="0"/>
    <n v="32"/>
    <x v="1"/>
    <x v="2"/>
    <n v="2"/>
    <n v="25"/>
    <x v="5"/>
    <n v="0.75"/>
  </r>
  <r>
    <n v="706"/>
    <x v="0"/>
    <x v="0"/>
    <n v="15"/>
    <s v="Wednesday"/>
    <s v="November"/>
    <m/>
    <d v="2023-11-15T00:00:00"/>
    <s v="CUST706"/>
    <x v="0"/>
    <n v="31"/>
    <x v="1"/>
    <x v="2"/>
    <n v="4"/>
    <n v="25"/>
    <x v="4"/>
    <n v="1.5"/>
  </r>
  <r>
    <n v="707"/>
    <x v="0"/>
    <x v="7"/>
    <n v="1"/>
    <s v="Sunday"/>
    <s v="October"/>
    <m/>
    <d v="2023-10-01T00:00:00"/>
    <s v="CUST707"/>
    <x v="1"/>
    <n v="31"/>
    <x v="1"/>
    <x v="1"/>
    <n v="1"/>
    <n v="500"/>
    <x v="3"/>
    <n v="7.5"/>
  </r>
  <r>
    <n v="708"/>
    <x v="0"/>
    <x v="2"/>
    <n v="14"/>
    <s v="Saturday"/>
    <s v="January"/>
    <m/>
    <d v="2023-01-14T00:00:00"/>
    <s v="CUST708"/>
    <x v="1"/>
    <n v="31"/>
    <x v="1"/>
    <x v="0"/>
    <n v="3"/>
    <n v="300"/>
    <x v="12"/>
    <n v="13.5"/>
  </r>
  <r>
    <n v="709"/>
    <x v="0"/>
    <x v="11"/>
    <n v="21"/>
    <s v="Friday"/>
    <s v="July"/>
    <m/>
    <d v="2023-07-21T00:00:00"/>
    <s v="CUST709"/>
    <x v="1"/>
    <n v="31"/>
    <x v="1"/>
    <x v="2"/>
    <n v="2"/>
    <n v="500"/>
    <x v="1"/>
    <n v="15"/>
  </r>
  <r>
    <n v="710"/>
    <x v="0"/>
    <x v="7"/>
    <n v="31"/>
    <s v="Tuesday"/>
    <s v="October"/>
    <m/>
    <d v="2023-10-31T00:00:00"/>
    <s v="CUST710"/>
    <x v="1"/>
    <n v="31"/>
    <x v="1"/>
    <x v="2"/>
    <n v="3"/>
    <n v="500"/>
    <x v="9"/>
    <n v="22.5"/>
  </r>
  <r>
    <n v="711"/>
    <x v="0"/>
    <x v="7"/>
    <n v="16"/>
    <s v="Monday"/>
    <s v="October"/>
    <m/>
    <d v="2023-10-16T00:00:00"/>
    <s v="CUST711"/>
    <x v="0"/>
    <n v="31"/>
    <x v="1"/>
    <x v="2"/>
    <n v="3"/>
    <n v="500"/>
    <x v="9"/>
    <n v="22.5"/>
  </r>
  <r>
    <n v="712"/>
    <x v="0"/>
    <x v="6"/>
    <n v="6"/>
    <s v="Wednesday"/>
    <s v="December"/>
    <m/>
    <d v="2023-12-06T00:00:00"/>
    <s v="CUST712"/>
    <x v="1"/>
    <n v="31"/>
    <x v="1"/>
    <x v="0"/>
    <n v="2"/>
    <n v="25"/>
    <x v="5"/>
    <n v="0.75"/>
  </r>
  <r>
    <n v="713"/>
    <x v="0"/>
    <x v="2"/>
    <n v="14"/>
    <s v="Saturday"/>
    <s v="January"/>
    <m/>
    <d v="2023-01-14T00:00:00"/>
    <s v="CUST713"/>
    <x v="0"/>
    <n v="31"/>
    <x v="1"/>
    <x v="0"/>
    <n v="3"/>
    <n v="25"/>
    <x v="8"/>
    <n v="1.125"/>
  </r>
  <r>
    <n v="714"/>
    <x v="0"/>
    <x v="1"/>
    <n v="12"/>
    <s v="Sunday"/>
    <s v="February"/>
    <m/>
    <d v="2023-02-12T00:00:00"/>
    <s v="CUST714"/>
    <x v="1"/>
    <n v="31"/>
    <x v="1"/>
    <x v="1"/>
    <n v="1"/>
    <n v="500"/>
    <x v="3"/>
    <n v="7.5"/>
  </r>
  <r>
    <n v="715"/>
    <x v="0"/>
    <x v="0"/>
    <n v="26"/>
    <s v="Sunday"/>
    <s v="November"/>
    <m/>
    <d v="2023-11-26T00:00:00"/>
    <s v="CUST715"/>
    <x v="1"/>
    <n v="31"/>
    <x v="1"/>
    <x v="0"/>
    <n v="4"/>
    <n v="25"/>
    <x v="4"/>
    <n v="1.5"/>
  </r>
  <r>
    <n v="716"/>
    <x v="0"/>
    <x v="8"/>
    <n v="8"/>
    <s v="Tuesday"/>
    <s v="August"/>
    <m/>
    <d v="2023-08-08T00:00:00"/>
    <s v="CUST716"/>
    <x v="1"/>
    <n v="31"/>
    <x v="1"/>
    <x v="1"/>
    <n v="4"/>
    <n v="300"/>
    <x v="14"/>
    <n v="18"/>
  </r>
  <r>
    <n v="717"/>
    <x v="0"/>
    <x v="5"/>
    <n v="11"/>
    <s v="Saturday"/>
    <s v="March"/>
    <m/>
    <d v="2023-03-11T00:00:00"/>
    <s v="CUST717"/>
    <x v="0"/>
    <n v="31"/>
    <x v="1"/>
    <x v="1"/>
    <n v="1"/>
    <n v="500"/>
    <x v="3"/>
    <n v="7.5"/>
  </r>
  <r>
    <n v="718"/>
    <x v="0"/>
    <x v="8"/>
    <n v="25"/>
    <s v="Friday"/>
    <s v="August"/>
    <m/>
    <d v="2023-08-25T00:00:00"/>
    <s v="CUST718"/>
    <x v="1"/>
    <n v="31"/>
    <x v="1"/>
    <x v="0"/>
    <n v="3"/>
    <n v="25"/>
    <x v="8"/>
    <n v="1.125"/>
  </r>
  <r>
    <n v="719"/>
    <x v="0"/>
    <x v="4"/>
    <n v="4"/>
    <s v="Tuesday"/>
    <s v="April"/>
    <m/>
    <d v="2023-04-04T00:00:00"/>
    <s v="CUST719"/>
    <x v="1"/>
    <n v="31"/>
    <x v="1"/>
    <x v="1"/>
    <n v="2"/>
    <n v="30"/>
    <x v="17"/>
    <n v="0.89999999999999991"/>
  </r>
  <r>
    <n v="720"/>
    <x v="0"/>
    <x v="2"/>
    <n v="26"/>
    <s v="Thursday"/>
    <s v="January"/>
    <m/>
    <d v="2023-01-26T00:00:00"/>
    <s v="CUST720"/>
    <x v="1"/>
    <n v="31"/>
    <x v="1"/>
    <x v="0"/>
    <n v="3"/>
    <n v="500"/>
    <x v="9"/>
    <n v="22.5"/>
  </r>
  <r>
    <n v="721"/>
    <x v="0"/>
    <x v="3"/>
    <n v="14"/>
    <s v="Sunday"/>
    <s v="May"/>
    <m/>
    <d v="2023-05-14T00:00:00"/>
    <s v="CUST721"/>
    <x v="1"/>
    <n v="31"/>
    <x v="1"/>
    <x v="1"/>
    <n v="1"/>
    <n v="500"/>
    <x v="3"/>
    <n v="7.5"/>
  </r>
  <r>
    <n v="722"/>
    <x v="0"/>
    <x v="11"/>
    <n v="14"/>
    <s v="Friday"/>
    <s v="July"/>
    <m/>
    <d v="2023-07-14T00:00:00"/>
    <s v="CUST722"/>
    <x v="0"/>
    <n v="31"/>
    <x v="1"/>
    <x v="0"/>
    <n v="3"/>
    <n v="300"/>
    <x v="12"/>
    <n v="13.5"/>
  </r>
  <r>
    <n v="723"/>
    <x v="0"/>
    <x v="10"/>
    <n v="17"/>
    <s v="Saturday"/>
    <s v="June"/>
    <m/>
    <d v="2023-06-17T00:00:00"/>
    <s v="CUST723"/>
    <x v="1"/>
    <n v="31"/>
    <x v="1"/>
    <x v="0"/>
    <n v="4"/>
    <n v="50"/>
    <x v="7"/>
    <n v="3"/>
  </r>
  <r>
    <n v="724"/>
    <x v="0"/>
    <x v="4"/>
    <n v="19"/>
    <s v="Wednesday"/>
    <s v="April"/>
    <m/>
    <d v="2023-04-19T00:00:00"/>
    <s v="CUST724"/>
    <x v="0"/>
    <n v="31"/>
    <x v="1"/>
    <x v="1"/>
    <n v="3"/>
    <n v="50"/>
    <x v="0"/>
    <n v="2.25"/>
  </r>
  <r>
    <n v="725"/>
    <x v="0"/>
    <x v="8"/>
    <n v="21"/>
    <s v="Monday"/>
    <s v="August"/>
    <m/>
    <d v="2023-08-21T00:00:00"/>
    <s v="CUST725"/>
    <x v="0"/>
    <n v="31"/>
    <x v="1"/>
    <x v="2"/>
    <n v="1"/>
    <n v="300"/>
    <x v="13"/>
    <n v="4.5"/>
  </r>
  <r>
    <n v="726"/>
    <x v="0"/>
    <x v="10"/>
    <n v="17"/>
    <s v="Saturday"/>
    <s v="June"/>
    <m/>
    <d v="2023-06-17T00:00:00"/>
    <s v="CUST726"/>
    <x v="0"/>
    <n v="31"/>
    <x v="1"/>
    <x v="1"/>
    <n v="4"/>
    <n v="300"/>
    <x v="14"/>
    <n v="18"/>
  </r>
  <r>
    <n v="727"/>
    <x v="0"/>
    <x v="10"/>
    <n v="22"/>
    <s v="Thursday"/>
    <s v="June"/>
    <m/>
    <d v="2023-06-22T00:00:00"/>
    <s v="CUST727"/>
    <x v="0"/>
    <n v="31"/>
    <x v="1"/>
    <x v="0"/>
    <n v="3"/>
    <n v="300"/>
    <x v="12"/>
    <n v="13.5"/>
  </r>
  <r>
    <n v="728"/>
    <x v="0"/>
    <x v="11"/>
    <n v="14"/>
    <s v="Friday"/>
    <s v="July"/>
    <m/>
    <d v="2023-07-14T00:00:00"/>
    <s v="CUST728"/>
    <x v="0"/>
    <n v="30"/>
    <x v="1"/>
    <x v="2"/>
    <n v="3"/>
    <n v="50"/>
    <x v="0"/>
    <n v="2.25"/>
  </r>
  <r>
    <n v="729"/>
    <x v="0"/>
    <x v="3"/>
    <n v="23"/>
    <s v="Tuesday"/>
    <s v="May"/>
    <m/>
    <d v="2023-05-23T00:00:00"/>
    <s v="CUST729"/>
    <x v="0"/>
    <n v="30"/>
    <x v="1"/>
    <x v="1"/>
    <n v="4"/>
    <n v="300"/>
    <x v="14"/>
    <n v="18"/>
  </r>
  <r>
    <n v="730"/>
    <x v="0"/>
    <x v="8"/>
    <n v="4"/>
    <s v="Friday"/>
    <s v="August"/>
    <m/>
    <d v="2023-08-04T00:00:00"/>
    <s v="CUST730"/>
    <x v="1"/>
    <n v="30"/>
    <x v="1"/>
    <x v="1"/>
    <n v="2"/>
    <n v="25"/>
    <x v="5"/>
    <n v="0.75"/>
  </r>
  <r>
    <n v="731"/>
    <x v="0"/>
    <x v="3"/>
    <n v="10"/>
    <s v="Wednesday"/>
    <s v="May"/>
    <m/>
    <d v="2023-05-10T00:00:00"/>
    <s v="CUST731"/>
    <x v="0"/>
    <n v="30"/>
    <x v="1"/>
    <x v="1"/>
    <n v="4"/>
    <n v="500"/>
    <x v="11"/>
    <n v="30"/>
  </r>
  <r>
    <n v="732"/>
    <x v="0"/>
    <x v="1"/>
    <n v="11"/>
    <s v="Saturday"/>
    <s v="February"/>
    <m/>
    <d v="2023-02-11T00:00:00"/>
    <s v="CUST732"/>
    <x v="0"/>
    <n v="30"/>
    <x v="1"/>
    <x v="2"/>
    <n v="2"/>
    <n v="500"/>
    <x v="1"/>
    <n v="15"/>
  </r>
  <r>
    <n v="733"/>
    <x v="0"/>
    <x v="8"/>
    <n v="29"/>
    <s v="Tuesday"/>
    <s v="August"/>
    <m/>
    <d v="2023-08-29T00:00:00"/>
    <s v="CUST733"/>
    <x v="0"/>
    <n v="30"/>
    <x v="1"/>
    <x v="0"/>
    <n v="1"/>
    <n v="30"/>
    <x v="2"/>
    <n v="0.44999999999999996"/>
  </r>
  <r>
    <n v="734"/>
    <x v="0"/>
    <x v="2"/>
    <n v="10"/>
    <s v="Tuesday"/>
    <s v="January"/>
    <m/>
    <d v="2023-01-10T00:00:00"/>
    <s v="CUST734"/>
    <x v="1"/>
    <n v="30"/>
    <x v="1"/>
    <x v="1"/>
    <n v="1"/>
    <n v="30"/>
    <x v="2"/>
    <n v="0.44999999999999996"/>
  </r>
  <r>
    <n v="735"/>
    <x v="0"/>
    <x v="7"/>
    <n v="4"/>
    <s v="Wednesday"/>
    <s v="October"/>
    <m/>
    <d v="2023-10-04T00:00:00"/>
    <s v="CUST735"/>
    <x v="1"/>
    <n v="30"/>
    <x v="1"/>
    <x v="1"/>
    <n v="4"/>
    <n v="500"/>
    <x v="11"/>
    <n v="30"/>
  </r>
  <r>
    <n v="736"/>
    <x v="0"/>
    <x v="2"/>
    <n v="27"/>
    <s v="Friday"/>
    <s v="January"/>
    <m/>
    <d v="2023-01-27T00:00:00"/>
    <s v="CUST736"/>
    <x v="0"/>
    <n v="30"/>
    <x v="1"/>
    <x v="1"/>
    <n v="4"/>
    <n v="25"/>
    <x v="4"/>
    <n v="1.5"/>
  </r>
  <r>
    <n v="737"/>
    <x v="0"/>
    <x v="10"/>
    <n v="29"/>
    <s v="Thursday"/>
    <s v="June"/>
    <m/>
    <d v="2023-06-29T00:00:00"/>
    <s v="CUST737"/>
    <x v="1"/>
    <n v="30"/>
    <x v="1"/>
    <x v="1"/>
    <n v="1"/>
    <n v="50"/>
    <x v="5"/>
    <n v="0.75"/>
  </r>
  <r>
    <n v="738"/>
    <x v="0"/>
    <x v="4"/>
    <n v="25"/>
    <s v="Tuesday"/>
    <s v="April"/>
    <m/>
    <d v="2023-04-25T00:00:00"/>
    <s v="CUST738"/>
    <x v="0"/>
    <n v="30"/>
    <x v="1"/>
    <x v="1"/>
    <n v="2"/>
    <n v="50"/>
    <x v="4"/>
    <n v="1.5"/>
  </r>
  <r>
    <n v="739"/>
    <x v="0"/>
    <x v="0"/>
    <n v="29"/>
    <s v="Wednesday"/>
    <s v="November"/>
    <m/>
    <d v="2023-11-29T00:00:00"/>
    <s v="CUST739"/>
    <x v="0"/>
    <n v="30"/>
    <x v="1"/>
    <x v="0"/>
    <n v="1"/>
    <n v="25"/>
    <x v="16"/>
    <n v="0.375"/>
  </r>
  <r>
    <n v="740"/>
    <x v="0"/>
    <x v="1"/>
    <n v="5"/>
    <s v="Sunday"/>
    <s v="February"/>
    <m/>
    <d v="2023-02-05T00:00:00"/>
    <s v="CUST740"/>
    <x v="1"/>
    <n v="30"/>
    <x v="1"/>
    <x v="0"/>
    <n v="4"/>
    <n v="50"/>
    <x v="7"/>
    <n v="3"/>
  </r>
  <r>
    <n v="741"/>
    <x v="0"/>
    <x v="0"/>
    <n v="30"/>
    <s v="Thursday"/>
    <s v="November"/>
    <m/>
    <d v="2023-11-30T00:00:00"/>
    <s v="CUST741"/>
    <x v="0"/>
    <n v="30"/>
    <x v="1"/>
    <x v="1"/>
    <n v="1"/>
    <n v="300"/>
    <x v="13"/>
    <n v="4.5"/>
  </r>
  <r>
    <n v="742"/>
    <x v="0"/>
    <x v="2"/>
    <n v="21"/>
    <s v="Saturday"/>
    <s v="January"/>
    <m/>
    <d v="2023-01-21T00:00:00"/>
    <s v="CUST742"/>
    <x v="1"/>
    <n v="30"/>
    <x v="1"/>
    <x v="2"/>
    <n v="4"/>
    <n v="500"/>
    <x v="11"/>
    <n v="30"/>
  </r>
  <r>
    <n v="743"/>
    <x v="0"/>
    <x v="2"/>
    <n v="16"/>
    <s v="Monday"/>
    <s v="January"/>
    <m/>
    <d v="2023-01-16T00:00:00"/>
    <s v="CUST743"/>
    <x v="1"/>
    <n v="30"/>
    <x v="1"/>
    <x v="0"/>
    <n v="4"/>
    <n v="500"/>
    <x v="11"/>
    <n v="30"/>
  </r>
  <r>
    <n v="744"/>
    <x v="0"/>
    <x v="3"/>
    <n v="7"/>
    <s v="Sunday"/>
    <s v="May"/>
    <m/>
    <d v="2023-05-07T00:00:00"/>
    <s v="CUST744"/>
    <x v="0"/>
    <n v="30"/>
    <x v="1"/>
    <x v="2"/>
    <n v="1"/>
    <n v="25"/>
    <x v="16"/>
    <n v="0.375"/>
  </r>
  <r>
    <n v="745"/>
    <x v="0"/>
    <x v="4"/>
    <n v="13"/>
    <s v="Thursday"/>
    <s v="April"/>
    <m/>
    <d v="2023-04-13T00:00:00"/>
    <s v="CUST745"/>
    <x v="0"/>
    <n v="30"/>
    <x v="1"/>
    <x v="0"/>
    <n v="2"/>
    <n v="50"/>
    <x v="4"/>
    <n v="1.5"/>
  </r>
  <r>
    <n v="746"/>
    <x v="0"/>
    <x v="2"/>
    <n v="11"/>
    <s v="Wednesday"/>
    <s v="January"/>
    <m/>
    <d v="2023-01-11T00:00:00"/>
    <s v="CUST746"/>
    <x v="1"/>
    <n v="30"/>
    <x v="1"/>
    <x v="1"/>
    <n v="3"/>
    <n v="30"/>
    <x v="15"/>
    <n v="1.3499999999999999"/>
  </r>
  <r>
    <n v="747"/>
    <x v="0"/>
    <x v="0"/>
    <n v="15"/>
    <s v="Wednesday"/>
    <s v="November"/>
    <m/>
    <d v="2023-11-15T00:00:00"/>
    <s v="CUST747"/>
    <x v="0"/>
    <n v="30"/>
    <x v="1"/>
    <x v="0"/>
    <n v="1"/>
    <n v="30"/>
    <x v="2"/>
    <n v="0.44999999999999996"/>
  </r>
  <r>
    <n v="748"/>
    <x v="0"/>
    <x v="5"/>
    <n v="20"/>
    <s v="Monday"/>
    <s v="March"/>
    <m/>
    <d v="2023-03-20T00:00:00"/>
    <s v="CUST748"/>
    <x v="0"/>
    <n v="30"/>
    <x v="1"/>
    <x v="1"/>
    <n v="3"/>
    <n v="50"/>
    <x v="0"/>
    <n v="2.25"/>
  </r>
  <r>
    <n v="749"/>
    <x v="0"/>
    <x v="3"/>
    <n v="3"/>
    <s v="Wednesday"/>
    <s v="May"/>
    <m/>
    <d v="2023-05-03T00:00:00"/>
    <s v="CUST749"/>
    <x v="0"/>
    <n v="30"/>
    <x v="1"/>
    <x v="0"/>
    <n v="1"/>
    <n v="30"/>
    <x v="2"/>
    <n v="0.44999999999999996"/>
  </r>
  <r>
    <n v="750"/>
    <x v="0"/>
    <x v="5"/>
    <n v="6"/>
    <s v="Monday"/>
    <s v="March"/>
    <m/>
    <d v="2023-03-06T00:00:00"/>
    <s v="CUST750"/>
    <x v="1"/>
    <n v="29"/>
    <x v="2"/>
    <x v="1"/>
    <n v="3"/>
    <n v="25"/>
    <x v="8"/>
    <n v="1.125"/>
  </r>
  <r>
    <n v="751"/>
    <x v="0"/>
    <x v="8"/>
    <n v="31"/>
    <s v="Thursday"/>
    <s v="August"/>
    <m/>
    <d v="2023-08-31T00:00:00"/>
    <s v="CUST751"/>
    <x v="1"/>
    <n v="29"/>
    <x v="2"/>
    <x v="1"/>
    <n v="2"/>
    <n v="25"/>
    <x v="5"/>
    <n v="0.75"/>
  </r>
  <r>
    <n v="752"/>
    <x v="0"/>
    <x v="6"/>
    <n v="9"/>
    <s v="Saturday"/>
    <s v="December"/>
    <m/>
    <d v="2023-12-09T00:00:00"/>
    <s v="CUST752"/>
    <x v="0"/>
    <n v="29"/>
    <x v="2"/>
    <x v="1"/>
    <n v="2"/>
    <n v="50"/>
    <x v="4"/>
    <n v="1.5"/>
  </r>
  <r>
    <n v="753"/>
    <x v="0"/>
    <x v="1"/>
    <n v="28"/>
    <s v="Tuesday"/>
    <s v="February"/>
    <m/>
    <d v="2023-02-28T00:00:00"/>
    <s v="CUST753"/>
    <x v="1"/>
    <n v="29"/>
    <x v="2"/>
    <x v="1"/>
    <n v="1"/>
    <n v="30"/>
    <x v="2"/>
    <n v="0.44999999999999996"/>
  </r>
  <r>
    <n v="754"/>
    <x v="0"/>
    <x v="7"/>
    <n v="16"/>
    <s v="Monday"/>
    <s v="October"/>
    <m/>
    <d v="2023-10-16T00:00:00"/>
    <s v="CUST754"/>
    <x v="1"/>
    <n v="29"/>
    <x v="2"/>
    <x v="2"/>
    <n v="4"/>
    <n v="25"/>
    <x v="4"/>
    <n v="1.5"/>
  </r>
  <r>
    <n v="755"/>
    <x v="0"/>
    <x v="4"/>
    <n v="22"/>
    <s v="Saturday"/>
    <s v="April"/>
    <m/>
    <d v="2023-04-22T00:00:00"/>
    <s v="CUST755"/>
    <x v="1"/>
    <n v="29"/>
    <x v="2"/>
    <x v="1"/>
    <n v="3"/>
    <n v="25"/>
    <x v="8"/>
    <n v="1.125"/>
  </r>
  <r>
    <n v="756"/>
    <x v="0"/>
    <x v="8"/>
    <n v="27"/>
    <s v="Sunday"/>
    <s v="August"/>
    <m/>
    <d v="2023-08-27T00:00:00"/>
    <s v="CUST756"/>
    <x v="1"/>
    <n v="29"/>
    <x v="2"/>
    <x v="2"/>
    <n v="4"/>
    <n v="300"/>
    <x v="14"/>
    <n v="18"/>
  </r>
  <r>
    <n v="757"/>
    <x v="0"/>
    <x v="6"/>
    <n v="25"/>
    <s v="Monday"/>
    <s v="December"/>
    <m/>
    <d v="2023-12-25T00:00:00"/>
    <s v="CUST757"/>
    <x v="1"/>
    <n v="29"/>
    <x v="2"/>
    <x v="2"/>
    <n v="4"/>
    <n v="300"/>
    <x v="14"/>
    <n v="18"/>
  </r>
  <r>
    <n v="758"/>
    <x v="0"/>
    <x v="3"/>
    <n v="12"/>
    <s v="Friday"/>
    <s v="May"/>
    <m/>
    <d v="2023-05-12T00:00:00"/>
    <s v="CUST758"/>
    <x v="0"/>
    <n v="29"/>
    <x v="2"/>
    <x v="1"/>
    <n v="4"/>
    <n v="25"/>
    <x v="4"/>
    <n v="1.5"/>
  </r>
  <r>
    <n v="759"/>
    <x v="0"/>
    <x v="11"/>
    <n v="8"/>
    <s v="Saturday"/>
    <s v="July"/>
    <m/>
    <d v="2023-07-08T00:00:00"/>
    <s v="CUST759"/>
    <x v="0"/>
    <n v="29"/>
    <x v="2"/>
    <x v="2"/>
    <n v="2"/>
    <n v="50"/>
    <x v="4"/>
    <n v="1.5"/>
  </r>
  <r>
    <n v="760"/>
    <x v="0"/>
    <x v="5"/>
    <n v="27"/>
    <s v="Monday"/>
    <s v="March"/>
    <m/>
    <d v="2023-03-27T00:00:00"/>
    <s v="CUST760"/>
    <x v="0"/>
    <n v="29"/>
    <x v="2"/>
    <x v="0"/>
    <n v="1"/>
    <n v="500"/>
    <x v="3"/>
    <n v="7.5"/>
  </r>
  <r>
    <n v="761"/>
    <x v="0"/>
    <x v="0"/>
    <n v="7"/>
    <s v="Tuesday"/>
    <s v="November"/>
    <m/>
    <d v="2023-11-07T00:00:00"/>
    <s v="CUST761"/>
    <x v="1"/>
    <n v="29"/>
    <x v="2"/>
    <x v="1"/>
    <n v="1"/>
    <n v="500"/>
    <x v="3"/>
    <n v="7.5"/>
  </r>
  <r>
    <n v="762"/>
    <x v="0"/>
    <x v="0"/>
    <n v="7"/>
    <s v="Tuesday"/>
    <s v="November"/>
    <m/>
    <d v="2023-11-07T00:00:00"/>
    <s v="CUST762"/>
    <x v="1"/>
    <n v="29"/>
    <x v="2"/>
    <x v="2"/>
    <n v="2"/>
    <n v="25"/>
    <x v="5"/>
    <n v="0.75"/>
  </r>
  <r>
    <n v="763"/>
    <x v="0"/>
    <x v="1"/>
    <n v="28"/>
    <s v="Tuesday"/>
    <s v="February"/>
    <m/>
    <d v="2023-02-28T00:00:00"/>
    <s v="CUST763"/>
    <x v="0"/>
    <n v="29"/>
    <x v="2"/>
    <x v="1"/>
    <n v="2"/>
    <n v="25"/>
    <x v="5"/>
    <n v="0.75"/>
  </r>
  <r>
    <n v="764"/>
    <x v="0"/>
    <x v="5"/>
    <n v="25"/>
    <s v="Saturday"/>
    <s v="March"/>
    <m/>
    <d v="2023-03-25T00:00:00"/>
    <s v="CUST764"/>
    <x v="1"/>
    <n v="29"/>
    <x v="2"/>
    <x v="1"/>
    <n v="1"/>
    <n v="25"/>
    <x v="16"/>
    <n v="0.375"/>
  </r>
  <r>
    <n v="765"/>
    <x v="0"/>
    <x v="10"/>
    <n v="9"/>
    <s v="Friday"/>
    <s v="June"/>
    <m/>
    <d v="2023-06-09T00:00:00"/>
    <s v="CUST765"/>
    <x v="0"/>
    <n v="29"/>
    <x v="2"/>
    <x v="1"/>
    <n v="4"/>
    <n v="50"/>
    <x v="7"/>
    <n v="3"/>
  </r>
  <r>
    <n v="766"/>
    <x v="0"/>
    <x v="1"/>
    <n v="25"/>
    <s v="Saturday"/>
    <s v="February"/>
    <m/>
    <d v="2023-02-25T00:00:00"/>
    <s v="CUST766"/>
    <x v="0"/>
    <n v="28"/>
    <x v="2"/>
    <x v="2"/>
    <n v="3"/>
    <n v="300"/>
    <x v="12"/>
    <n v="13.5"/>
  </r>
  <r>
    <n v="767"/>
    <x v="0"/>
    <x v="7"/>
    <n v="24"/>
    <s v="Tuesday"/>
    <s v="October"/>
    <m/>
    <d v="2023-10-24T00:00:00"/>
    <s v="CUST767"/>
    <x v="0"/>
    <n v="28"/>
    <x v="2"/>
    <x v="0"/>
    <n v="3"/>
    <n v="25"/>
    <x v="8"/>
    <n v="1.125"/>
  </r>
  <r>
    <n v="768"/>
    <x v="0"/>
    <x v="2"/>
    <n v="14"/>
    <s v="Saturday"/>
    <s v="January"/>
    <m/>
    <d v="2023-01-14T00:00:00"/>
    <s v="CUST768"/>
    <x v="1"/>
    <n v="28"/>
    <x v="2"/>
    <x v="0"/>
    <n v="3"/>
    <n v="25"/>
    <x v="8"/>
    <n v="1.125"/>
  </r>
  <r>
    <n v="769"/>
    <x v="0"/>
    <x v="10"/>
    <n v="9"/>
    <s v="Friday"/>
    <s v="June"/>
    <m/>
    <d v="2023-06-09T00:00:00"/>
    <s v="CUST769"/>
    <x v="1"/>
    <n v="28"/>
    <x v="2"/>
    <x v="2"/>
    <n v="4"/>
    <n v="30"/>
    <x v="10"/>
    <n v="1.7999999999999998"/>
  </r>
  <r>
    <n v="770"/>
    <x v="0"/>
    <x v="7"/>
    <n v="22"/>
    <s v="Sunday"/>
    <s v="October"/>
    <m/>
    <d v="2023-10-22T00:00:00"/>
    <s v="CUST770"/>
    <x v="0"/>
    <n v="28"/>
    <x v="2"/>
    <x v="1"/>
    <n v="1"/>
    <n v="50"/>
    <x v="5"/>
    <n v="0.75"/>
  </r>
  <r>
    <n v="771"/>
    <x v="0"/>
    <x v="6"/>
    <n v="13"/>
    <s v="Wednesday"/>
    <s v="December"/>
    <m/>
    <d v="2023-12-13T00:00:00"/>
    <s v="CUST771"/>
    <x v="0"/>
    <n v="28"/>
    <x v="2"/>
    <x v="2"/>
    <n v="2"/>
    <n v="25"/>
    <x v="5"/>
    <n v="0.75"/>
  </r>
  <r>
    <n v="772"/>
    <x v="0"/>
    <x v="11"/>
    <n v="12"/>
    <s v="Wednesday"/>
    <s v="July"/>
    <m/>
    <d v="2023-07-12T00:00:00"/>
    <s v="CUST772"/>
    <x v="0"/>
    <n v="28"/>
    <x v="2"/>
    <x v="2"/>
    <n v="1"/>
    <n v="30"/>
    <x v="2"/>
    <n v="0.44999999999999996"/>
  </r>
  <r>
    <n v="773"/>
    <x v="0"/>
    <x v="11"/>
    <n v="23"/>
    <s v="Sunday"/>
    <s v="July"/>
    <m/>
    <d v="2023-07-23T00:00:00"/>
    <s v="CUST773"/>
    <x v="0"/>
    <n v="28"/>
    <x v="2"/>
    <x v="2"/>
    <n v="4"/>
    <n v="500"/>
    <x v="11"/>
    <n v="30"/>
  </r>
  <r>
    <n v="774"/>
    <x v="0"/>
    <x v="4"/>
    <n v="12"/>
    <s v="Wednesday"/>
    <s v="April"/>
    <m/>
    <d v="2023-04-12T00:00:00"/>
    <s v="CUST774"/>
    <x v="1"/>
    <n v="28"/>
    <x v="2"/>
    <x v="1"/>
    <n v="2"/>
    <n v="25"/>
    <x v="5"/>
    <n v="0.75"/>
  </r>
  <r>
    <n v="775"/>
    <x v="0"/>
    <x v="1"/>
    <n v="8"/>
    <s v="Wednesday"/>
    <s v="February"/>
    <m/>
    <d v="2023-02-08T00:00:00"/>
    <s v="CUST775"/>
    <x v="1"/>
    <n v="28"/>
    <x v="2"/>
    <x v="2"/>
    <n v="4"/>
    <n v="25"/>
    <x v="4"/>
    <n v="1.5"/>
  </r>
  <r>
    <n v="776"/>
    <x v="0"/>
    <x v="7"/>
    <n v="31"/>
    <s v="Tuesday"/>
    <s v="October"/>
    <m/>
    <d v="2023-10-31T00:00:00"/>
    <s v="CUST776"/>
    <x v="0"/>
    <n v="28"/>
    <x v="2"/>
    <x v="1"/>
    <n v="3"/>
    <n v="30"/>
    <x v="15"/>
    <n v="1.3499999999999999"/>
  </r>
  <r>
    <n v="777"/>
    <x v="0"/>
    <x v="6"/>
    <n v="20"/>
    <s v="Wednesday"/>
    <s v="December"/>
    <m/>
    <d v="2023-12-20T00:00:00"/>
    <s v="CUST777"/>
    <x v="0"/>
    <n v="28"/>
    <x v="2"/>
    <x v="2"/>
    <n v="3"/>
    <n v="50"/>
    <x v="0"/>
    <n v="2.25"/>
  </r>
  <r>
    <n v="778"/>
    <x v="0"/>
    <x v="0"/>
    <n v="18"/>
    <s v="Saturday"/>
    <s v="November"/>
    <m/>
    <d v="2023-11-18T00:00:00"/>
    <s v="CUST778"/>
    <x v="1"/>
    <n v="28"/>
    <x v="2"/>
    <x v="0"/>
    <n v="4"/>
    <n v="25"/>
    <x v="4"/>
    <n v="1.5"/>
  </r>
  <r>
    <n v="779"/>
    <x v="0"/>
    <x v="3"/>
    <n v="5"/>
    <s v="Friday"/>
    <s v="May"/>
    <m/>
    <d v="2023-05-05T00:00:00"/>
    <s v="CUST779"/>
    <x v="1"/>
    <n v="28"/>
    <x v="2"/>
    <x v="2"/>
    <n v="2"/>
    <n v="500"/>
    <x v="1"/>
    <n v="15"/>
  </r>
  <r>
    <n v="780"/>
    <x v="0"/>
    <x v="1"/>
    <n v="22"/>
    <s v="Wednesday"/>
    <s v="February"/>
    <m/>
    <d v="2023-02-22T00:00:00"/>
    <s v="CUST780"/>
    <x v="0"/>
    <n v="28"/>
    <x v="2"/>
    <x v="2"/>
    <n v="2"/>
    <n v="25"/>
    <x v="5"/>
    <n v="0.75"/>
  </r>
  <r>
    <n v="781"/>
    <x v="0"/>
    <x v="6"/>
    <n v="23"/>
    <s v="Saturday"/>
    <s v="December"/>
    <m/>
    <d v="2023-12-23T00:00:00"/>
    <s v="CUST781"/>
    <x v="0"/>
    <n v="28"/>
    <x v="2"/>
    <x v="0"/>
    <n v="1"/>
    <n v="500"/>
    <x v="3"/>
    <n v="7.5"/>
  </r>
  <r>
    <n v="782"/>
    <x v="0"/>
    <x v="10"/>
    <n v="4"/>
    <s v="Sunday"/>
    <s v="June"/>
    <m/>
    <d v="2023-06-04T00:00:00"/>
    <s v="CUST782"/>
    <x v="0"/>
    <n v="28"/>
    <x v="2"/>
    <x v="1"/>
    <n v="3"/>
    <n v="300"/>
    <x v="12"/>
    <n v="13.5"/>
  </r>
  <r>
    <n v="783"/>
    <x v="0"/>
    <x v="6"/>
    <n v="17"/>
    <s v="Sunday"/>
    <s v="December"/>
    <m/>
    <d v="2023-12-17T00:00:00"/>
    <s v="CUST783"/>
    <x v="1"/>
    <n v="28"/>
    <x v="2"/>
    <x v="1"/>
    <n v="1"/>
    <n v="300"/>
    <x v="13"/>
    <n v="4.5"/>
  </r>
  <r>
    <n v="784"/>
    <x v="0"/>
    <x v="0"/>
    <n v="4"/>
    <s v="Saturday"/>
    <s v="November"/>
    <m/>
    <d v="2023-11-04T00:00:00"/>
    <s v="CUST784"/>
    <x v="1"/>
    <n v="28"/>
    <x v="2"/>
    <x v="2"/>
    <n v="1"/>
    <n v="500"/>
    <x v="3"/>
    <n v="7.5"/>
  </r>
  <r>
    <n v="785"/>
    <x v="0"/>
    <x v="5"/>
    <n v="3"/>
    <s v="Friday"/>
    <s v="March"/>
    <m/>
    <d v="2023-03-03T00:00:00"/>
    <s v="CUST785"/>
    <x v="1"/>
    <n v="28"/>
    <x v="2"/>
    <x v="0"/>
    <n v="4"/>
    <n v="50"/>
    <x v="7"/>
    <n v="3"/>
  </r>
  <r>
    <n v="786"/>
    <x v="0"/>
    <x v="7"/>
    <n v="17"/>
    <s v="Tuesday"/>
    <s v="October"/>
    <m/>
    <d v="2023-10-17T00:00:00"/>
    <s v="CUST786"/>
    <x v="0"/>
    <n v="28"/>
    <x v="2"/>
    <x v="1"/>
    <n v="4"/>
    <n v="25"/>
    <x v="4"/>
    <n v="1.5"/>
  </r>
  <r>
    <n v="787"/>
    <x v="0"/>
    <x v="2"/>
    <n v="22"/>
    <s v="Sunday"/>
    <s v="January"/>
    <m/>
    <d v="2023-01-22T00:00:00"/>
    <s v="CUST787"/>
    <x v="0"/>
    <n v="27"/>
    <x v="2"/>
    <x v="2"/>
    <n v="1"/>
    <n v="25"/>
    <x v="16"/>
    <n v="0.375"/>
  </r>
  <r>
    <n v="788"/>
    <x v="0"/>
    <x v="10"/>
    <n v="27"/>
    <s v="Tuesday"/>
    <s v="June"/>
    <m/>
    <d v="2023-06-27T00:00:00"/>
    <s v="CUST788"/>
    <x v="1"/>
    <n v="27"/>
    <x v="2"/>
    <x v="0"/>
    <n v="3"/>
    <n v="300"/>
    <x v="12"/>
    <n v="13.5"/>
  </r>
  <r>
    <n v="789"/>
    <x v="0"/>
    <x v="9"/>
    <n v="30"/>
    <s v="Saturday"/>
    <s v="September"/>
    <m/>
    <d v="2023-09-30T00:00:00"/>
    <s v="CUST789"/>
    <x v="1"/>
    <n v="27"/>
    <x v="2"/>
    <x v="1"/>
    <n v="4"/>
    <n v="500"/>
    <x v="11"/>
    <n v="30"/>
  </r>
  <r>
    <n v="790"/>
    <x v="0"/>
    <x v="8"/>
    <n v="8"/>
    <s v="Tuesday"/>
    <s v="August"/>
    <m/>
    <d v="2023-08-08T00:00:00"/>
    <s v="CUST790"/>
    <x v="0"/>
    <n v="27"/>
    <x v="2"/>
    <x v="1"/>
    <n v="1"/>
    <n v="25"/>
    <x v="16"/>
    <n v="0.375"/>
  </r>
  <r>
    <n v="791"/>
    <x v="0"/>
    <x v="6"/>
    <n v="5"/>
    <s v="Tuesday"/>
    <s v="December"/>
    <m/>
    <d v="2023-12-05T00:00:00"/>
    <s v="CUST791"/>
    <x v="1"/>
    <n v="27"/>
    <x v="2"/>
    <x v="0"/>
    <n v="1"/>
    <n v="25"/>
    <x v="16"/>
    <n v="0.375"/>
  </r>
  <r>
    <n v="792"/>
    <x v="0"/>
    <x v="11"/>
    <n v="9"/>
    <s v="Sunday"/>
    <s v="July"/>
    <m/>
    <d v="2023-07-09T00:00:00"/>
    <s v="CUST792"/>
    <x v="1"/>
    <n v="27"/>
    <x v="2"/>
    <x v="0"/>
    <n v="1"/>
    <n v="50"/>
    <x v="5"/>
    <n v="0.75"/>
  </r>
  <r>
    <n v="793"/>
    <x v="0"/>
    <x v="1"/>
    <n v="5"/>
    <s v="Sunday"/>
    <s v="February"/>
    <m/>
    <d v="2023-02-05T00:00:00"/>
    <s v="CUST793"/>
    <x v="0"/>
    <n v="27"/>
    <x v="2"/>
    <x v="0"/>
    <n v="1"/>
    <n v="30"/>
    <x v="2"/>
    <n v="0.44999999999999996"/>
  </r>
  <r>
    <n v="794"/>
    <x v="0"/>
    <x v="9"/>
    <n v="17"/>
    <s v="Sunday"/>
    <s v="September"/>
    <m/>
    <d v="2023-09-17T00:00:00"/>
    <s v="CUST794"/>
    <x v="1"/>
    <n v="27"/>
    <x v="2"/>
    <x v="0"/>
    <n v="1"/>
    <n v="300"/>
    <x v="13"/>
    <n v="4.5"/>
  </r>
  <r>
    <n v="795"/>
    <x v="0"/>
    <x v="0"/>
    <n v="28"/>
    <s v="Tuesday"/>
    <s v="November"/>
    <m/>
    <d v="2023-11-28T00:00:00"/>
    <s v="CUST795"/>
    <x v="0"/>
    <n v="27"/>
    <x v="2"/>
    <x v="2"/>
    <n v="1"/>
    <n v="300"/>
    <x v="13"/>
    <n v="4.5"/>
  </r>
  <r>
    <n v="796"/>
    <x v="0"/>
    <x v="10"/>
    <n v="24"/>
    <s v="Saturday"/>
    <s v="June"/>
    <m/>
    <d v="2023-06-24T00:00:00"/>
    <s v="CUST796"/>
    <x v="0"/>
    <n v="27"/>
    <x v="2"/>
    <x v="0"/>
    <n v="4"/>
    <n v="30"/>
    <x v="10"/>
    <n v="1.7999999999999998"/>
  </r>
  <r>
    <n v="797"/>
    <x v="0"/>
    <x v="2"/>
    <n v="7"/>
    <s v="Saturday"/>
    <s v="January"/>
    <m/>
    <d v="2023-01-07T00:00:00"/>
    <s v="CUST797"/>
    <x v="0"/>
    <n v="27"/>
    <x v="2"/>
    <x v="1"/>
    <n v="3"/>
    <n v="25"/>
    <x v="8"/>
    <n v="1.125"/>
  </r>
  <r>
    <n v="798"/>
    <x v="0"/>
    <x v="8"/>
    <n v="4"/>
    <s v="Friday"/>
    <s v="August"/>
    <m/>
    <d v="2023-08-04T00:00:00"/>
    <s v="CUST798"/>
    <x v="0"/>
    <n v="27"/>
    <x v="2"/>
    <x v="1"/>
    <n v="1"/>
    <n v="50"/>
    <x v="5"/>
    <n v="0.75"/>
  </r>
  <r>
    <n v="799"/>
    <x v="0"/>
    <x v="9"/>
    <n v="8"/>
    <s v="Friday"/>
    <s v="September"/>
    <m/>
    <d v="2023-09-08T00:00:00"/>
    <s v="CUST799"/>
    <x v="0"/>
    <n v="27"/>
    <x v="2"/>
    <x v="2"/>
    <n v="2"/>
    <n v="50"/>
    <x v="4"/>
    <n v="1.5"/>
  </r>
  <r>
    <n v="800"/>
    <x v="0"/>
    <x v="1"/>
    <n v="24"/>
    <s v="Friday"/>
    <s v="February"/>
    <m/>
    <d v="2023-02-24T00:00:00"/>
    <s v="CUST800"/>
    <x v="0"/>
    <n v="27"/>
    <x v="2"/>
    <x v="1"/>
    <n v="4"/>
    <n v="300"/>
    <x v="14"/>
    <n v="18"/>
  </r>
  <r>
    <n v="801"/>
    <x v="0"/>
    <x v="8"/>
    <n v="10"/>
    <s v="Thursday"/>
    <s v="August"/>
    <m/>
    <d v="2023-08-10T00:00:00"/>
    <s v="CUST801"/>
    <x v="0"/>
    <n v="27"/>
    <x v="2"/>
    <x v="1"/>
    <n v="4"/>
    <n v="50"/>
    <x v="7"/>
    <n v="3"/>
  </r>
  <r>
    <n v="802"/>
    <x v="0"/>
    <x v="11"/>
    <n v="5"/>
    <s v="Wednesday"/>
    <s v="July"/>
    <m/>
    <d v="2023-07-05T00:00:00"/>
    <s v="CUST802"/>
    <x v="1"/>
    <n v="27"/>
    <x v="2"/>
    <x v="0"/>
    <n v="1"/>
    <n v="30"/>
    <x v="2"/>
    <n v="0.44999999999999996"/>
  </r>
  <r>
    <n v="803"/>
    <x v="0"/>
    <x v="0"/>
    <n v="22"/>
    <s v="Wednesday"/>
    <s v="November"/>
    <m/>
    <d v="2023-11-22T00:00:00"/>
    <s v="CUST803"/>
    <x v="0"/>
    <n v="27"/>
    <x v="2"/>
    <x v="1"/>
    <n v="4"/>
    <n v="25"/>
    <x v="4"/>
    <n v="1.5"/>
  </r>
  <r>
    <n v="804"/>
    <x v="0"/>
    <x v="8"/>
    <n v="24"/>
    <s v="Thursday"/>
    <s v="August"/>
    <m/>
    <d v="2023-08-24T00:00:00"/>
    <s v="CUST804"/>
    <x v="0"/>
    <n v="27"/>
    <x v="2"/>
    <x v="2"/>
    <n v="1"/>
    <n v="30"/>
    <x v="2"/>
    <n v="0.44999999999999996"/>
  </r>
  <r>
    <n v="805"/>
    <x v="0"/>
    <x v="6"/>
    <n v="29"/>
    <s v="Friday"/>
    <s v="December"/>
    <m/>
    <d v="2023-12-29T00:00:00"/>
    <s v="CUST805"/>
    <x v="1"/>
    <n v="27"/>
    <x v="2"/>
    <x v="0"/>
    <n v="3"/>
    <n v="500"/>
    <x v="9"/>
    <n v="22.5"/>
  </r>
  <r>
    <n v="806"/>
    <x v="0"/>
    <x v="5"/>
    <n v="20"/>
    <s v="Monday"/>
    <s v="March"/>
    <m/>
    <d v="2023-03-20T00:00:00"/>
    <s v="CUST806"/>
    <x v="1"/>
    <n v="27"/>
    <x v="2"/>
    <x v="0"/>
    <n v="3"/>
    <n v="300"/>
    <x v="12"/>
    <n v="13.5"/>
  </r>
  <r>
    <n v="807"/>
    <x v="0"/>
    <x v="8"/>
    <n v="11"/>
    <s v="Friday"/>
    <s v="August"/>
    <m/>
    <d v="2023-08-11T00:00:00"/>
    <s v="CUST807"/>
    <x v="1"/>
    <n v="27"/>
    <x v="2"/>
    <x v="2"/>
    <n v="4"/>
    <n v="50"/>
    <x v="7"/>
    <n v="3"/>
  </r>
  <r>
    <n v="808"/>
    <x v="0"/>
    <x v="4"/>
    <n v="1"/>
    <s v="Saturday"/>
    <s v="April"/>
    <m/>
    <d v="2023-04-01T00:00:00"/>
    <s v="CUST808"/>
    <x v="0"/>
    <n v="27"/>
    <x v="2"/>
    <x v="0"/>
    <n v="4"/>
    <n v="500"/>
    <x v="11"/>
    <n v="30"/>
  </r>
  <r>
    <n v="809"/>
    <x v="0"/>
    <x v="9"/>
    <n v="25"/>
    <s v="Monday"/>
    <s v="September"/>
    <m/>
    <d v="2023-09-25T00:00:00"/>
    <s v="CUST809"/>
    <x v="1"/>
    <n v="27"/>
    <x v="2"/>
    <x v="0"/>
    <n v="2"/>
    <n v="50"/>
    <x v="4"/>
    <n v="1.5"/>
  </r>
  <r>
    <n v="810"/>
    <x v="0"/>
    <x v="0"/>
    <n v="30"/>
    <s v="Thursday"/>
    <s v="November"/>
    <m/>
    <d v="2023-11-30T00:00:00"/>
    <s v="CUST810"/>
    <x v="0"/>
    <n v="26"/>
    <x v="2"/>
    <x v="2"/>
    <n v="4"/>
    <n v="25"/>
    <x v="4"/>
    <n v="1.5"/>
  </r>
  <r>
    <n v="811"/>
    <x v="0"/>
    <x v="3"/>
    <n v="19"/>
    <s v="Friday"/>
    <s v="May"/>
    <m/>
    <d v="2023-05-19T00:00:00"/>
    <s v="CUST811"/>
    <x v="0"/>
    <n v="26"/>
    <x v="2"/>
    <x v="0"/>
    <n v="2"/>
    <n v="25"/>
    <x v="5"/>
    <n v="0.75"/>
  </r>
  <r>
    <n v="812"/>
    <x v="0"/>
    <x v="0"/>
    <n v="12"/>
    <s v="Sunday"/>
    <s v="November"/>
    <m/>
    <d v="2023-11-12T00:00:00"/>
    <s v="CUST812"/>
    <x v="0"/>
    <n v="26"/>
    <x v="2"/>
    <x v="2"/>
    <n v="3"/>
    <n v="25"/>
    <x v="8"/>
    <n v="1.125"/>
  </r>
  <r>
    <n v="813"/>
    <x v="0"/>
    <x v="7"/>
    <n v="3"/>
    <s v="Tuesday"/>
    <s v="October"/>
    <m/>
    <d v="2023-10-03T00:00:00"/>
    <s v="CUST813"/>
    <x v="0"/>
    <n v="26"/>
    <x v="2"/>
    <x v="2"/>
    <n v="3"/>
    <n v="50"/>
    <x v="0"/>
    <n v="2.25"/>
  </r>
  <r>
    <n v="814"/>
    <x v="0"/>
    <x v="9"/>
    <n v="5"/>
    <s v="Tuesday"/>
    <s v="September"/>
    <m/>
    <d v="2023-09-05T00:00:00"/>
    <s v="CUST814"/>
    <x v="1"/>
    <n v="26"/>
    <x v="2"/>
    <x v="1"/>
    <n v="1"/>
    <n v="500"/>
    <x v="3"/>
    <n v="7.5"/>
  </r>
  <r>
    <n v="815"/>
    <x v="0"/>
    <x v="8"/>
    <n v="27"/>
    <s v="Sunday"/>
    <s v="August"/>
    <m/>
    <d v="2023-08-27T00:00:00"/>
    <s v="CUST815"/>
    <x v="1"/>
    <n v="26"/>
    <x v="2"/>
    <x v="1"/>
    <n v="3"/>
    <n v="25"/>
    <x v="8"/>
    <n v="1.125"/>
  </r>
  <r>
    <n v="816"/>
    <x v="0"/>
    <x v="8"/>
    <n v="12"/>
    <s v="Saturday"/>
    <s v="August"/>
    <m/>
    <d v="2023-08-12T00:00:00"/>
    <s v="CUST816"/>
    <x v="0"/>
    <n v="26"/>
    <x v="2"/>
    <x v="0"/>
    <n v="2"/>
    <n v="500"/>
    <x v="1"/>
    <n v="15"/>
  </r>
  <r>
    <n v="817"/>
    <x v="0"/>
    <x v="7"/>
    <n v="31"/>
    <s v="Tuesday"/>
    <s v="October"/>
    <m/>
    <d v="2023-10-31T00:00:00"/>
    <s v="CUST817"/>
    <x v="0"/>
    <n v="26"/>
    <x v="2"/>
    <x v="0"/>
    <n v="4"/>
    <n v="50"/>
    <x v="7"/>
    <n v="3"/>
  </r>
  <r>
    <n v="818"/>
    <x v="0"/>
    <x v="3"/>
    <n v="18"/>
    <s v="Thursday"/>
    <s v="May"/>
    <m/>
    <d v="2023-05-18T00:00:00"/>
    <s v="CUST818"/>
    <x v="0"/>
    <n v="26"/>
    <x v="2"/>
    <x v="2"/>
    <n v="1"/>
    <n v="500"/>
    <x v="3"/>
    <n v="7.5"/>
  </r>
  <r>
    <n v="819"/>
    <x v="0"/>
    <x v="10"/>
    <n v="15"/>
    <s v="Thursday"/>
    <s v="June"/>
    <m/>
    <d v="2023-06-15T00:00:00"/>
    <s v="CUST819"/>
    <x v="1"/>
    <n v="26"/>
    <x v="2"/>
    <x v="0"/>
    <n v="2"/>
    <n v="50"/>
    <x v="4"/>
    <n v="1.5"/>
  </r>
  <r>
    <n v="820"/>
    <x v="0"/>
    <x v="3"/>
    <n v="6"/>
    <s v="Saturday"/>
    <s v="May"/>
    <m/>
    <d v="2023-05-06T00:00:00"/>
    <s v="CUST820"/>
    <x v="0"/>
    <n v="26"/>
    <x v="2"/>
    <x v="2"/>
    <n v="4"/>
    <n v="50"/>
    <x v="7"/>
    <n v="3"/>
  </r>
  <r>
    <n v="821"/>
    <x v="0"/>
    <x v="1"/>
    <n v="14"/>
    <s v="Tuesday"/>
    <s v="February"/>
    <m/>
    <d v="2023-02-14T00:00:00"/>
    <s v="CUST821"/>
    <x v="0"/>
    <n v="26"/>
    <x v="2"/>
    <x v="2"/>
    <n v="1"/>
    <n v="300"/>
    <x v="13"/>
    <n v="4.5"/>
  </r>
  <r>
    <n v="822"/>
    <x v="0"/>
    <x v="3"/>
    <n v="23"/>
    <s v="Tuesday"/>
    <s v="May"/>
    <m/>
    <d v="2023-05-23T00:00:00"/>
    <s v="CUST822"/>
    <x v="1"/>
    <n v="26"/>
    <x v="2"/>
    <x v="0"/>
    <n v="3"/>
    <n v="50"/>
    <x v="0"/>
    <n v="2.25"/>
  </r>
  <r>
    <n v="823"/>
    <x v="0"/>
    <x v="8"/>
    <n v="19"/>
    <s v="Saturday"/>
    <s v="August"/>
    <m/>
    <d v="2023-08-19T00:00:00"/>
    <s v="CUST823"/>
    <x v="1"/>
    <n v="26"/>
    <x v="2"/>
    <x v="2"/>
    <n v="2"/>
    <n v="50"/>
    <x v="4"/>
    <n v="1.5"/>
  </r>
  <r>
    <n v="824"/>
    <x v="0"/>
    <x v="3"/>
    <n v="5"/>
    <s v="Friday"/>
    <s v="May"/>
    <m/>
    <d v="2023-05-05T00:00:00"/>
    <s v="CUST824"/>
    <x v="0"/>
    <n v="26"/>
    <x v="2"/>
    <x v="1"/>
    <n v="4"/>
    <n v="30"/>
    <x v="10"/>
    <n v="1.7999999999999998"/>
  </r>
  <r>
    <n v="825"/>
    <x v="0"/>
    <x v="8"/>
    <n v="26"/>
    <s v="Saturday"/>
    <s v="August"/>
    <m/>
    <d v="2023-08-26T00:00:00"/>
    <s v="CUST825"/>
    <x v="1"/>
    <n v="26"/>
    <x v="2"/>
    <x v="0"/>
    <n v="1"/>
    <n v="25"/>
    <x v="16"/>
    <n v="0.375"/>
  </r>
  <r>
    <n v="826"/>
    <x v="0"/>
    <x v="7"/>
    <n v="19"/>
    <s v="Thursday"/>
    <s v="October"/>
    <m/>
    <d v="2023-10-19T00:00:00"/>
    <s v="CUST826"/>
    <x v="1"/>
    <n v="26"/>
    <x v="2"/>
    <x v="1"/>
    <n v="1"/>
    <n v="300"/>
    <x v="13"/>
    <n v="4.5"/>
  </r>
  <r>
    <n v="827"/>
    <x v="0"/>
    <x v="0"/>
    <n v="9"/>
    <s v="Thursday"/>
    <s v="November"/>
    <m/>
    <d v="2023-11-09T00:00:00"/>
    <s v="CUST827"/>
    <x v="0"/>
    <n v="26"/>
    <x v="2"/>
    <x v="0"/>
    <n v="3"/>
    <n v="300"/>
    <x v="12"/>
    <n v="13.5"/>
  </r>
  <r>
    <n v="828"/>
    <x v="0"/>
    <x v="6"/>
    <n v="9"/>
    <s v="Saturday"/>
    <s v="December"/>
    <m/>
    <d v="2023-12-09T00:00:00"/>
    <s v="CUST828"/>
    <x v="1"/>
    <n v="26"/>
    <x v="2"/>
    <x v="2"/>
    <n v="4"/>
    <n v="300"/>
    <x v="14"/>
    <n v="18"/>
  </r>
  <r>
    <n v="829"/>
    <x v="0"/>
    <x v="11"/>
    <n v="14"/>
    <s v="Friday"/>
    <s v="July"/>
    <m/>
    <d v="2023-07-14T00:00:00"/>
    <s v="CUST829"/>
    <x v="0"/>
    <n v="26"/>
    <x v="2"/>
    <x v="0"/>
    <n v="3"/>
    <n v="30"/>
    <x v="15"/>
    <n v="1.3499999999999999"/>
  </r>
  <r>
    <n v="830"/>
    <x v="0"/>
    <x v="10"/>
    <n v="22"/>
    <s v="Thursday"/>
    <s v="June"/>
    <m/>
    <d v="2023-06-22T00:00:00"/>
    <s v="CUST830"/>
    <x v="1"/>
    <n v="26"/>
    <x v="2"/>
    <x v="1"/>
    <n v="3"/>
    <n v="50"/>
    <x v="0"/>
    <n v="2.25"/>
  </r>
  <r>
    <n v="831"/>
    <x v="0"/>
    <x v="2"/>
    <n v="15"/>
    <s v="Sunday"/>
    <s v="January"/>
    <m/>
    <d v="2023-01-15T00:00:00"/>
    <s v="CUST831"/>
    <x v="0"/>
    <n v="26"/>
    <x v="2"/>
    <x v="2"/>
    <n v="4"/>
    <n v="25"/>
    <x v="4"/>
    <n v="1.5"/>
  </r>
  <r>
    <n v="832"/>
    <x v="0"/>
    <x v="9"/>
    <n v="11"/>
    <s v="Monday"/>
    <s v="September"/>
    <m/>
    <d v="2023-09-11T00:00:00"/>
    <s v="CUST832"/>
    <x v="0"/>
    <n v="25"/>
    <x v="2"/>
    <x v="0"/>
    <n v="4"/>
    <n v="500"/>
    <x v="11"/>
    <n v="30"/>
  </r>
  <r>
    <n v="833"/>
    <x v="0"/>
    <x v="10"/>
    <n v="16"/>
    <s v="Friday"/>
    <s v="June"/>
    <m/>
    <d v="2023-06-16T00:00:00"/>
    <s v="CUST833"/>
    <x v="0"/>
    <n v="25"/>
    <x v="2"/>
    <x v="0"/>
    <n v="4"/>
    <n v="50"/>
    <x v="7"/>
    <n v="3"/>
  </r>
  <r>
    <n v="834"/>
    <x v="0"/>
    <x v="4"/>
    <n v="4"/>
    <s v="Tuesday"/>
    <s v="April"/>
    <m/>
    <d v="2023-04-04T00:00:00"/>
    <s v="CUST834"/>
    <x v="1"/>
    <n v="25"/>
    <x v="2"/>
    <x v="0"/>
    <n v="2"/>
    <n v="30"/>
    <x v="17"/>
    <n v="0.89999999999999991"/>
  </r>
  <r>
    <n v="835"/>
    <x v="0"/>
    <x v="9"/>
    <n v="7"/>
    <s v="Thursday"/>
    <s v="September"/>
    <m/>
    <d v="2023-09-07T00:00:00"/>
    <s v="CUST835"/>
    <x v="0"/>
    <n v="25"/>
    <x v="2"/>
    <x v="1"/>
    <n v="4"/>
    <n v="50"/>
    <x v="7"/>
    <n v="3"/>
  </r>
  <r>
    <n v="836"/>
    <x v="0"/>
    <x v="4"/>
    <n v="19"/>
    <s v="Wednesday"/>
    <s v="April"/>
    <m/>
    <d v="2023-04-19T00:00:00"/>
    <s v="CUST836"/>
    <x v="1"/>
    <n v="25"/>
    <x v="2"/>
    <x v="1"/>
    <n v="1"/>
    <n v="50"/>
    <x v="5"/>
    <n v="0.75"/>
  </r>
  <r>
    <n v="837"/>
    <x v="0"/>
    <x v="11"/>
    <n v="1"/>
    <s v="Saturday"/>
    <s v="July"/>
    <m/>
    <d v="2023-07-01T00:00:00"/>
    <s v="CUST837"/>
    <x v="0"/>
    <n v="25"/>
    <x v="2"/>
    <x v="0"/>
    <n v="3"/>
    <n v="30"/>
    <x v="15"/>
    <n v="1.3499999999999999"/>
  </r>
  <r>
    <n v="838"/>
    <x v="0"/>
    <x v="3"/>
    <n v="13"/>
    <s v="Saturday"/>
    <s v="May"/>
    <m/>
    <d v="2023-05-13T00:00:00"/>
    <s v="CUST838"/>
    <x v="0"/>
    <n v="25"/>
    <x v="2"/>
    <x v="2"/>
    <n v="2"/>
    <n v="300"/>
    <x v="6"/>
    <n v="9"/>
  </r>
  <r>
    <n v="839"/>
    <x v="0"/>
    <x v="10"/>
    <n v="24"/>
    <s v="Saturday"/>
    <s v="June"/>
    <m/>
    <d v="2023-06-24T00:00:00"/>
    <s v="CUST839"/>
    <x v="1"/>
    <n v="25"/>
    <x v="2"/>
    <x v="2"/>
    <n v="4"/>
    <n v="300"/>
    <x v="14"/>
    <n v="18"/>
  </r>
  <r>
    <n v="840"/>
    <x v="0"/>
    <x v="3"/>
    <n v="24"/>
    <s v="Wednesday"/>
    <s v="May"/>
    <m/>
    <d v="2023-05-24T00:00:00"/>
    <s v="CUST840"/>
    <x v="0"/>
    <n v="25"/>
    <x v="2"/>
    <x v="1"/>
    <n v="2"/>
    <n v="25"/>
    <x v="5"/>
    <n v="0.75"/>
  </r>
  <r>
    <n v="841"/>
    <x v="0"/>
    <x v="0"/>
    <n v="2"/>
    <s v="Thursday"/>
    <s v="November"/>
    <m/>
    <d v="2023-11-02T00:00:00"/>
    <s v="CUST841"/>
    <x v="0"/>
    <n v="25"/>
    <x v="2"/>
    <x v="2"/>
    <n v="4"/>
    <n v="25"/>
    <x v="4"/>
    <n v="1.5"/>
  </r>
  <r>
    <n v="842"/>
    <x v="0"/>
    <x v="6"/>
    <n v="26"/>
    <s v="Tuesday"/>
    <s v="December"/>
    <m/>
    <d v="2023-12-26T00:00:00"/>
    <s v="CUST842"/>
    <x v="1"/>
    <n v="25"/>
    <x v="2"/>
    <x v="1"/>
    <n v="2"/>
    <n v="300"/>
    <x v="6"/>
    <n v="9"/>
  </r>
  <r>
    <n v="843"/>
    <x v="0"/>
    <x v="3"/>
    <n v="22"/>
    <s v="Monday"/>
    <s v="May"/>
    <m/>
    <d v="2023-05-22T00:00:00"/>
    <s v="CUST843"/>
    <x v="0"/>
    <n v="25"/>
    <x v="2"/>
    <x v="0"/>
    <n v="3"/>
    <n v="500"/>
    <x v="9"/>
    <n v="22.5"/>
  </r>
  <r>
    <n v="844"/>
    <x v="0"/>
    <x v="7"/>
    <n v="12"/>
    <s v="Thursday"/>
    <s v="October"/>
    <m/>
    <d v="2023-10-12T00:00:00"/>
    <s v="CUST844"/>
    <x v="0"/>
    <n v="25"/>
    <x v="2"/>
    <x v="1"/>
    <n v="3"/>
    <n v="50"/>
    <x v="0"/>
    <n v="2.25"/>
  </r>
  <r>
    <n v="845"/>
    <x v="0"/>
    <x v="2"/>
    <n v="6"/>
    <s v="Friday"/>
    <s v="January"/>
    <m/>
    <d v="2023-01-06T00:00:00"/>
    <s v="CUST845"/>
    <x v="0"/>
    <n v="25"/>
    <x v="2"/>
    <x v="1"/>
    <n v="1"/>
    <n v="500"/>
    <x v="3"/>
    <n v="7.5"/>
  </r>
  <r>
    <n v="846"/>
    <x v="0"/>
    <x v="9"/>
    <n v="22"/>
    <s v="Friday"/>
    <s v="September"/>
    <m/>
    <d v="2023-09-22T00:00:00"/>
    <s v="CUST846"/>
    <x v="0"/>
    <n v="25"/>
    <x v="2"/>
    <x v="0"/>
    <n v="1"/>
    <n v="50"/>
    <x v="5"/>
    <n v="0.75"/>
  </r>
  <r>
    <n v="847"/>
    <x v="0"/>
    <x v="4"/>
    <n v="8"/>
    <s v="Saturday"/>
    <s v="April"/>
    <m/>
    <d v="2023-04-08T00:00:00"/>
    <s v="CUST847"/>
    <x v="1"/>
    <n v="25"/>
    <x v="2"/>
    <x v="2"/>
    <n v="4"/>
    <n v="300"/>
    <x v="14"/>
    <n v="18"/>
  </r>
  <r>
    <n v="848"/>
    <x v="0"/>
    <x v="1"/>
    <n v="13"/>
    <s v="Monday"/>
    <s v="February"/>
    <m/>
    <d v="2023-02-13T00:00:00"/>
    <s v="CUST848"/>
    <x v="1"/>
    <n v="25"/>
    <x v="2"/>
    <x v="1"/>
    <n v="3"/>
    <n v="25"/>
    <x v="8"/>
    <n v="1.125"/>
  </r>
  <r>
    <n v="849"/>
    <x v="0"/>
    <x v="3"/>
    <n v="4"/>
    <s v="Thursday"/>
    <s v="May"/>
    <m/>
    <d v="2023-05-04T00:00:00"/>
    <s v="CUST849"/>
    <x v="0"/>
    <n v="25"/>
    <x v="2"/>
    <x v="1"/>
    <n v="2"/>
    <n v="25"/>
    <x v="5"/>
    <n v="0.75"/>
  </r>
  <r>
    <n v="850"/>
    <x v="0"/>
    <x v="11"/>
    <n v="28"/>
    <s v="Friday"/>
    <s v="July"/>
    <m/>
    <d v="2023-07-28T00:00:00"/>
    <s v="CUST850"/>
    <x v="1"/>
    <n v="25"/>
    <x v="2"/>
    <x v="0"/>
    <n v="2"/>
    <n v="500"/>
    <x v="1"/>
    <n v="15"/>
  </r>
  <r>
    <n v="851"/>
    <x v="0"/>
    <x v="9"/>
    <n v="8"/>
    <s v="Friday"/>
    <s v="September"/>
    <m/>
    <d v="2023-09-08T00:00:00"/>
    <s v="CUST851"/>
    <x v="0"/>
    <n v="25"/>
    <x v="2"/>
    <x v="2"/>
    <n v="2"/>
    <n v="25"/>
    <x v="5"/>
    <n v="0.75"/>
  </r>
  <r>
    <n v="852"/>
    <x v="0"/>
    <x v="7"/>
    <n v="12"/>
    <s v="Thursday"/>
    <s v="October"/>
    <m/>
    <d v="2023-10-12T00:00:00"/>
    <s v="CUST852"/>
    <x v="1"/>
    <n v="24"/>
    <x v="2"/>
    <x v="1"/>
    <n v="1"/>
    <n v="300"/>
    <x v="13"/>
    <n v="4.5"/>
  </r>
  <r>
    <n v="853"/>
    <x v="0"/>
    <x v="3"/>
    <n v="4"/>
    <s v="Thursday"/>
    <s v="May"/>
    <m/>
    <d v="2023-05-04T00:00:00"/>
    <s v="CUST853"/>
    <x v="0"/>
    <n v="24"/>
    <x v="2"/>
    <x v="0"/>
    <n v="2"/>
    <n v="500"/>
    <x v="1"/>
    <n v="15"/>
  </r>
  <r>
    <n v="854"/>
    <x v="0"/>
    <x v="6"/>
    <n v="20"/>
    <s v="Wednesday"/>
    <s v="December"/>
    <m/>
    <d v="2023-12-20T00:00:00"/>
    <s v="CUST854"/>
    <x v="0"/>
    <n v="24"/>
    <x v="2"/>
    <x v="1"/>
    <n v="1"/>
    <n v="50"/>
    <x v="5"/>
    <n v="0.75"/>
  </r>
  <r>
    <n v="855"/>
    <x v="0"/>
    <x v="9"/>
    <n v="1"/>
    <s v="Friday"/>
    <s v="September"/>
    <m/>
    <d v="2023-09-01T00:00:00"/>
    <s v="CUST855"/>
    <x v="0"/>
    <n v="24"/>
    <x v="2"/>
    <x v="0"/>
    <n v="1"/>
    <n v="25"/>
    <x v="16"/>
    <n v="0.375"/>
  </r>
  <r>
    <n v="856"/>
    <x v="0"/>
    <x v="0"/>
    <n v="27"/>
    <s v="Monday"/>
    <s v="November"/>
    <m/>
    <d v="2023-11-27T00:00:00"/>
    <s v="CUST856"/>
    <x v="0"/>
    <n v="24"/>
    <x v="2"/>
    <x v="2"/>
    <n v="4"/>
    <n v="30"/>
    <x v="10"/>
    <n v="1.7999999999999998"/>
  </r>
  <r>
    <n v="857"/>
    <x v="0"/>
    <x v="6"/>
    <n v="31"/>
    <s v="Sunday"/>
    <s v="December"/>
    <m/>
    <d v="2023-12-31T00:00:00"/>
    <s v="CUST857"/>
    <x v="0"/>
    <n v="24"/>
    <x v="2"/>
    <x v="2"/>
    <n v="2"/>
    <n v="25"/>
    <x v="5"/>
    <n v="0.75"/>
  </r>
  <r>
    <n v="858"/>
    <x v="0"/>
    <x v="9"/>
    <n v="9"/>
    <s v="Saturday"/>
    <s v="September"/>
    <m/>
    <d v="2023-09-09T00:00:00"/>
    <s v="CUST858"/>
    <x v="0"/>
    <n v="24"/>
    <x v="2"/>
    <x v="2"/>
    <n v="2"/>
    <n v="50"/>
    <x v="4"/>
    <n v="1.5"/>
  </r>
  <r>
    <n v="859"/>
    <x v="0"/>
    <x v="8"/>
    <n v="18"/>
    <s v="Friday"/>
    <s v="August"/>
    <m/>
    <d v="2023-08-18T00:00:00"/>
    <s v="CUST859"/>
    <x v="1"/>
    <n v="24"/>
    <x v="2"/>
    <x v="2"/>
    <n v="3"/>
    <n v="500"/>
    <x v="9"/>
    <n v="22.5"/>
  </r>
  <r>
    <n v="860"/>
    <x v="0"/>
    <x v="2"/>
    <n v="9"/>
    <s v="Monday"/>
    <s v="January"/>
    <m/>
    <d v="2023-01-09T00:00:00"/>
    <s v="CUST860"/>
    <x v="0"/>
    <n v="24"/>
    <x v="2"/>
    <x v="1"/>
    <n v="4"/>
    <n v="50"/>
    <x v="7"/>
    <n v="3"/>
  </r>
  <r>
    <n v="861"/>
    <x v="0"/>
    <x v="1"/>
    <n v="17"/>
    <s v="Friday"/>
    <s v="February"/>
    <m/>
    <d v="2023-02-17T00:00:00"/>
    <s v="CUST861"/>
    <x v="1"/>
    <n v="24"/>
    <x v="2"/>
    <x v="1"/>
    <n v="3"/>
    <n v="30"/>
    <x v="15"/>
    <n v="1.3499999999999999"/>
  </r>
  <r>
    <n v="862"/>
    <x v="0"/>
    <x v="3"/>
    <n v="31"/>
    <s v="Wednesday"/>
    <s v="May"/>
    <m/>
    <d v="2023-05-31T00:00:00"/>
    <s v="CUST862"/>
    <x v="0"/>
    <n v="24"/>
    <x v="2"/>
    <x v="2"/>
    <n v="4"/>
    <n v="300"/>
    <x v="14"/>
    <n v="18"/>
  </r>
  <r>
    <n v="863"/>
    <x v="0"/>
    <x v="4"/>
    <n v="24"/>
    <s v="Monday"/>
    <s v="April"/>
    <m/>
    <d v="2023-04-24T00:00:00"/>
    <s v="CUST863"/>
    <x v="1"/>
    <n v="24"/>
    <x v="2"/>
    <x v="2"/>
    <n v="2"/>
    <n v="25"/>
    <x v="5"/>
    <n v="0.75"/>
  </r>
  <r>
    <n v="864"/>
    <x v="0"/>
    <x v="11"/>
    <n v="27"/>
    <s v="Thursday"/>
    <s v="July"/>
    <m/>
    <d v="2023-07-27T00:00:00"/>
    <s v="CUST864"/>
    <x v="1"/>
    <n v="24"/>
    <x v="2"/>
    <x v="2"/>
    <n v="1"/>
    <n v="500"/>
    <x v="3"/>
    <n v="7.5"/>
  </r>
  <r>
    <n v="865"/>
    <x v="0"/>
    <x v="6"/>
    <n v="21"/>
    <s v="Thursday"/>
    <s v="December"/>
    <m/>
    <d v="2023-12-21T00:00:00"/>
    <s v="CUST865"/>
    <x v="1"/>
    <n v="24"/>
    <x v="2"/>
    <x v="1"/>
    <n v="1"/>
    <n v="300"/>
    <x v="13"/>
    <n v="4.5"/>
  </r>
  <r>
    <n v="866"/>
    <x v="0"/>
    <x v="3"/>
    <n v="5"/>
    <s v="Friday"/>
    <s v="May"/>
    <m/>
    <d v="2023-05-05T00:00:00"/>
    <s v="CUST866"/>
    <x v="0"/>
    <n v="24"/>
    <x v="2"/>
    <x v="2"/>
    <n v="1"/>
    <n v="50"/>
    <x v="5"/>
    <n v="0.75"/>
  </r>
  <r>
    <n v="867"/>
    <x v="0"/>
    <x v="10"/>
    <n v="6"/>
    <s v="Tuesday"/>
    <s v="June"/>
    <m/>
    <d v="2023-06-06T00:00:00"/>
    <s v="CUST867"/>
    <x v="0"/>
    <n v="23"/>
    <x v="2"/>
    <x v="2"/>
    <n v="1"/>
    <n v="500"/>
    <x v="3"/>
    <n v="7.5"/>
  </r>
  <r>
    <n v="868"/>
    <x v="0"/>
    <x v="6"/>
    <n v="6"/>
    <s v="Wednesday"/>
    <s v="December"/>
    <m/>
    <d v="2023-12-06T00:00:00"/>
    <s v="CUST868"/>
    <x v="1"/>
    <n v="23"/>
    <x v="2"/>
    <x v="2"/>
    <n v="1"/>
    <n v="300"/>
    <x v="13"/>
    <n v="4.5"/>
  </r>
  <r>
    <n v="869"/>
    <x v="0"/>
    <x v="7"/>
    <n v="25"/>
    <s v="Wednesday"/>
    <s v="October"/>
    <m/>
    <d v="2023-10-25T00:00:00"/>
    <s v="CUST869"/>
    <x v="0"/>
    <n v="23"/>
    <x v="2"/>
    <x v="0"/>
    <n v="3"/>
    <n v="500"/>
    <x v="9"/>
    <n v="22.5"/>
  </r>
  <r>
    <n v="870"/>
    <x v="0"/>
    <x v="11"/>
    <n v="8"/>
    <s v="Saturday"/>
    <s v="July"/>
    <m/>
    <d v="2023-07-08T00:00:00"/>
    <s v="CUST870"/>
    <x v="1"/>
    <n v="23"/>
    <x v="2"/>
    <x v="2"/>
    <n v="4"/>
    <n v="30"/>
    <x v="10"/>
    <n v="1.7999999999999998"/>
  </r>
  <r>
    <n v="871"/>
    <x v="0"/>
    <x v="8"/>
    <n v="31"/>
    <s v="Thursday"/>
    <s v="August"/>
    <m/>
    <d v="2023-08-31T00:00:00"/>
    <s v="CUST871"/>
    <x v="0"/>
    <n v="23"/>
    <x v="2"/>
    <x v="0"/>
    <n v="2"/>
    <n v="30"/>
    <x v="17"/>
    <n v="0.89999999999999991"/>
  </r>
  <r>
    <n v="872"/>
    <x v="0"/>
    <x v="7"/>
    <n v="11"/>
    <s v="Wednesday"/>
    <s v="October"/>
    <m/>
    <d v="2023-10-11T00:00:00"/>
    <s v="CUST872"/>
    <x v="1"/>
    <n v="23"/>
    <x v="2"/>
    <x v="0"/>
    <n v="3"/>
    <n v="25"/>
    <x v="8"/>
    <n v="1.125"/>
  </r>
  <r>
    <n v="873"/>
    <x v="0"/>
    <x v="9"/>
    <n v="29"/>
    <s v="Friday"/>
    <s v="September"/>
    <m/>
    <d v="2023-09-29T00:00:00"/>
    <s v="CUST873"/>
    <x v="1"/>
    <n v="23"/>
    <x v="2"/>
    <x v="2"/>
    <n v="4"/>
    <n v="25"/>
    <x v="4"/>
    <n v="1.5"/>
  </r>
  <r>
    <n v="874"/>
    <x v="0"/>
    <x v="10"/>
    <n v="26"/>
    <s v="Monday"/>
    <s v="June"/>
    <m/>
    <d v="2023-06-26T00:00:00"/>
    <s v="CUST874"/>
    <x v="0"/>
    <n v="23"/>
    <x v="2"/>
    <x v="0"/>
    <n v="1"/>
    <n v="30"/>
    <x v="2"/>
    <n v="0.44999999999999996"/>
  </r>
  <r>
    <n v="875"/>
    <x v="0"/>
    <x v="8"/>
    <n v="6"/>
    <s v="Sunday"/>
    <s v="August"/>
    <m/>
    <d v="2023-08-06T00:00:00"/>
    <s v="CUST875"/>
    <x v="1"/>
    <n v="23"/>
    <x v="2"/>
    <x v="2"/>
    <n v="4"/>
    <n v="500"/>
    <x v="11"/>
    <n v="30"/>
  </r>
  <r>
    <n v="876"/>
    <x v="0"/>
    <x v="7"/>
    <n v="9"/>
    <s v="Monday"/>
    <s v="October"/>
    <m/>
    <d v="2023-10-09T00:00:00"/>
    <s v="CUST876"/>
    <x v="0"/>
    <n v="23"/>
    <x v="2"/>
    <x v="1"/>
    <n v="4"/>
    <n v="30"/>
    <x v="10"/>
    <n v="1.7999999999999998"/>
  </r>
  <r>
    <n v="877"/>
    <x v="0"/>
    <x v="10"/>
    <n v="19"/>
    <s v="Monday"/>
    <s v="June"/>
    <m/>
    <d v="2023-06-19T00:00:00"/>
    <s v="CUST877"/>
    <x v="1"/>
    <n v="23"/>
    <x v="2"/>
    <x v="1"/>
    <n v="1"/>
    <n v="25"/>
    <x v="16"/>
    <n v="0.375"/>
  </r>
  <r>
    <n v="878"/>
    <x v="0"/>
    <x v="10"/>
    <n v="30"/>
    <s v="Friday"/>
    <s v="June"/>
    <m/>
    <d v="2023-06-30T00:00:00"/>
    <s v="CUST878"/>
    <x v="1"/>
    <n v="23"/>
    <x v="2"/>
    <x v="1"/>
    <n v="1"/>
    <n v="30"/>
    <x v="2"/>
    <n v="0.44999999999999996"/>
  </r>
  <r>
    <n v="879"/>
    <x v="0"/>
    <x v="6"/>
    <n v="26"/>
    <s v="Tuesday"/>
    <s v="December"/>
    <m/>
    <d v="2023-12-26T00:00:00"/>
    <s v="CUST879"/>
    <x v="0"/>
    <n v="23"/>
    <x v="2"/>
    <x v="1"/>
    <n v="1"/>
    <n v="30"/>
    <x v="2"/>
    <n v="0.44999999999999996"/>
  </r>
  <r>
    <n v="880"/>
    <x v="0"/>
    <x v="8"/>
    <n v="21"/>
    <s v="Monday"/>
    <s v="August"/>
    <m/>
    <d v="2023-08-21T00:00:00"/>
    <s v="CUST880"/>
    <x v="0"/>
    <n v="23"/>
    <x v="2"/>
    <x v="0"/>
    <n v="2"/>
    <n v="500"/>
    <x v="1"/>
    <n v="15"/>
  </r>
  <r>
    <n v="881"/>
    <x v="0"/>
    <x v="3"/>
    <n v="19"/>
    <s v="Friday"/>
    <s v="May"/>
    <m/>
    <d v="2023-05-19T00:00:00"/>
    <s v="CUST881"/>
    <x v="0"/>
    <n v="23"/>
    <x v="2"/>
    <x v="2"/>
    <n v="1"/>
    <n v="300"/>
    <x v="13"/>
    <n v="4.5"/>
  </r>
  <r>
    <n v="882"/>
    <x v="0"/>
    <x v="10"/>
    <n v="6"/>
    <s v="Tuesday"/>
    <s v="June"/>
    <m/>
    <d v="2023-06-06T00:00:00"/>
    <s v="CUST882"/>
    <x v="1"/>
    <n v="23"/>
    <x v="2"/>
    <x v="2"/>
    <n v="2"/>
    <n v="25"/>
    <x v="5"/>
    <n v="0.75"/>
  </r>
  <r>
    <n v="883"/>
    <x v="0"/>
    <x v="3"/>
    <n v="9"/>
    <s v="Tuesday"/>
    <s v="May"/>
    <m/>
    <d v="2023-05-09T00:00:00"/>
    <s v="CUST883"/>
    <x v="0"/>
    <n v="23"/>
    <x v="2"/>
    <x v="2"/>
    <n v="1"/>
    <n v="500"/>
    <x v="3"/>
    <n v="7.5"/>
  </r>
  <r>
    <n v="884"/>
    <x v="0"/>
    <x v="4"/>
    <n v="29"/>
    <s v="Saturday"/>
    <s v="April"/>
    <m/>
    <d v="2023-04-29T00:00:00"/>
    <s v="CUST884"/>
    <x v="1"/>
    <n v="23"/>
    <x v="2"/>
    <x v="1"/>
    <n v="2"/>
    <n v="30"/>
    <x v="17"/>
    <n v="0.89999999999999991"/>
  </r>
  <r>
    <n v="885"/>
    <x v="0"/>
    <x v="5"/>
    <n v="3"/>
    <s v="Friday"/>
    <s v="March"/>
    <m/>
    <d v="2023-03-03T00:00:00"/>
    <s v="CUST885"/>
    <x v="1"/>
    <n v="23"/>
    <x v="2"/>
    <x v="1"/>
    <n v="4"/>
    <n v="30"/>
    <x v="10"/>
    <n v="1.7999999999999998"/>
  </r>
  <r>
    <n v="886"/>
    <x v="0"/>
    <x v="4"/>
    <n v="9"/>
    <s v="Sunday"/>
    <s v="April"/>
    <m/>
    <d v="2023-04-09T00:00:00"/>
    <s v="CUST886"/>
    <x v="0"/>
    <n v="23"/>
    <x v="2"/>
    <x v="2"/>
    <n v="3"/>
    <n v="300"/>
    <x v="12"/>
    <n v="13.5"/>
  </r>
  <r>
    <n v="887"/>
    <x v="0"/>
    <x v="10"/>
    <n v="11"/>
    <s v="Sunday"/>
    <s v="June"/>
    <m/>
    <d v="2023-06-11T00:00:00"/>
    <s v="CUST887"/>
    <x v="0"/>
    <n v="23"/>
    <x v="2"/>
    <x v="1"/>
    <n v="4"/>
    <n v="25"/>
    <x v="4"/>
    <n v="1.5"/>
  </r>
  <r>
    <n v="888"/>
    <x v="0"/>
    <x v="5"/>
    <n v="3"/>
    <s v="Friday"/>
    <s v="March"/>
    <m/>
    <d v="2023-03-03T00:00:00"/>
    <s v="CUST888"/>
    <x v="1"/>
    <n v="23"/>
    <x v="2"/>
    <x v="2"/>
    <n v="4"/>
    <n v="25"/>
    <x v="4"/>
    <n v="1.5"/>
  </r>
  <r>
    <n v="889"/>
    <x v="0"/>
    <x v="7"/>
    <n v="2"/>
    <s v="Monday"/>
    <s v="October"/>
    <m/>
    <d v="2023-10-02T00:00:00"/>
    <s v="CUST889"/>
    <x v="1"/>
    <n v="23"/>
    <x v="2"/>
    <x v="2"/>
    <n v="1"/>
    <n v="50"/>
    <x v="5"/>
    <n v="0.75"/>
  </r>
  <r>
    <n v="890"/>
    <x v="0"/>
    <x v="6"/>
    <n v="20"/>
    <s v="Wednesday"/>
    <s v="December"/>
    <m/>
    <d v="2023-12-20T00:00:00"/>
    <s v="CUST890"/>
    <x v="0"/>
    <n v="23"/>
    <x v="2"/>
    <x v="2"/>
    <n v="2"/>
    <n v="25"/>
    <x v="5"/>
    <n v="0.75"/>
  </r>
  <r>
    <n v="891"/>
    <x v="0"/>
    <x v="4"/>
    <n v="5"/>
    <s v="Wednesday"/>
    <s v="April"/>
    <m/>
    <d v="2023-04-05T00:00:00"/>
    <s v="CUST891"/>
    <x v="0"/>
    <n v="22"/>
    <x v="2"/>
    <x v="2"/>
    <n v="3"/>
    <n v="300"/>
    <x v="12"/>
    <n v="13.5"/>
  </r>
  <r>
    <n v="892"/>
    <x v="0"/>
    <x v="4"/>
    <n v="9"/>
    <s v="Sunday"/>
    <s v="April"/>
    <m/>
    <d v="2023-04-09T00:00:00"/>
    <s v="CUST892"/>
    <x v="0"/>
    <n v="22"/>
    <x v="2"/>
    <x v="2"/>
    <n v="1"/>
    <n v="50"/>
    <x v="5"/>
    <n v="0.75"/>
  </r>
  <r>
    <n v="893"/>
    <x v="0"/>
    <x v="4"/>
    <n v="21"/>
    <s v="Friday"/>
    <s v="April"/>
    <m/>
    <d v="2023-04-21T00:00:00"/>
    <s v="CUST893"/>
    <x v="0"/>
    <n v="22"/>
    <x v="2"/>
    <x v="2"/>
    <n v="1"/>
    <n v="50"/>
    <x v="5"/>
    <n v="0.75"/>
  </r>
  <r>
    <n v="894"/>
    <x v="0"/>
    <x v="9"/>
    <n v="5"/>
    <s v="Tuesday"/>
    <s v="September"/>
    <m/>
    <d v="2023-09-05T00:00:00"/>
    <s v="CUST894"/>
    <x v="0"/>
    <n v="22"/>
    <x v="2"/>
    <x v="2"/>
    <n v="1"/>
    <n v="30"/>
    <x v="2"/>
    <n v="0.44999999999999996"/>
  </r>
  <r>
    <n v="895"/>
    <x v="0"/>
    <x v="3"/>
    <n v="22"/>
    <s v="Monday"/>
    <s v="May"/>
    <m/>
    <d v="2023-05-22T00:00:00"/>
    <s v="CUST895"/>
    <x v="1"/>
    <n v="22"/>
    <x v="2"/>
    <x v="1"/>
    <n v="4"/>
    <n v="30"/>
    <x v="10"/>
    <n v="1.7999999999999998"/>
  </r>
  <r>
    <n v="896"/>
    <x v="0"/>
    <x v="7"/>
    <n v="29"/>
    <s v="Sunday"/>
    <s v="October"/>
    <m/>
    <d v="2023-10-29T00:00:00"/>
    <s v="CUST896"/>
    <x v="1"/>
    <n v="22"/>
    <x v="2"/>
    <x v="2"/>
    <n v="2"/>
    <n v="25"/>
    <x v="5"/>
    <n v="0.75"/>
  </r>
  <r>
    <n v="897"/>
    <x v="0"/>
    <x v="9"/>
    <n v="26"/>
    <s v="Tuesday"/>
    <s v="September"/>
    <m/>
    <d v="2023-09-26T00:00:00"/>
    <s v="CUST897"/>
    <x v="1"/>
    <n v="22"/>
    <x v="2"/>
    <x v="2"/>
    <n v="2"/>
    <n v="50"/>
    <x v="4"/>
    <n v="1.5"/>
  </r>
  <r>
    <n v="898"/>
    <x v="0"/>
    <x v="0"/>
    <n v="2"/>
    <s v="Thursday"/>
    <s v="November"/>
    <m/>
    <d v="2023-11-02T00:00:00"/>
    <s v="CUST898"/>
    <x v="1"/>
    <n v="22"/>
    <x v="2"/>
    <x v="1"/>
    <n v="3"/>
    <n v="30"/>
    <x v="15"/>
    <n v="1.3499999999999999"/>
  </r>
  <r>
    <n v="899"/>
    <x v="0"/>
    <x v="3"/>
    <n v="25"/>
    <s v="Thursday"/>
    <s v="May"/>
    <m/>
    <d v="2023-05-25T00:00:00"/>
    <s v="CUST899"/>
    <x v="0"/>
    <n v="22"/>
    <x v="2"/>
    <x v="1"/>
    <n v="2"/>
    <n v="300"/>
    <x v="6"/>
    <n v="9"/>
  </r>
  <r>
    <n v="900"/>
    <x v="0"/>
    <x v="1"/>
    <n v="21"/>
    <s v="Tuesday"/>
    <s v="February"/>
    <m/>
    <d v="2023-02-21T00:00:00"/>
    <s v="CUST900"/>
    <x v="0"/>
    <n v="22"/>
    <x v="2"/>
    <x v="1"/>
    <n v="2"/>
    <n v="30"/>
    <x v="17"/>
    <n v="0.89999999999999991"/>
  </r>
  <r>
    <n v="901"/>
    <x v="0"/>
    <x v="4"/>
    <n v="10"/>
    <s v="Monday"/>
    <s v="April"/>
    <m/>
    <d v="2023-04-10T00:00:00"/>
    <s v="CUST901"/>
    <x v="0"/>
    <n v="22"/>
    <x v="2"/>
    <x v="2"/>
    <n v="1"/>
    <n v="30"/>
    <x v="2"/>
    <n v="0.44999999999999996"/>
  </r>
  <r>
    <n v="902"/>
    <x v="0"/>
    <x v="10"/>
    <n v="1"/>
    <s v="Thursday"/>
    <s v="June"/>
    <m/>
    <d v="2023-06-01T00:00:00"/>
    <s v="CUST902"/>
    <x v="1"/>
    <n v="22"/>
    <x v="2"/>
    <x v="0"/>
    <n v="1"/>
    <n v="50"/>
    <x v="5"/>
    <n v="0.75"/>
  </r>
  <r>
    <n v="903"/>
    <x v="0"/>
    <x v="4"/>
    <n v="27"/>
    <s v="Thursday"/>
    <s v="April"/>
    <m/>
    <d v="2023-04-27T00:00:00"/>
    <s v="CUST903"/>
    <x v="1"/>
    <n v="22"/>
    <x v="2"/>
    <x v="0"/>
    <n v="4"/>
    <n v="50"/>
    <x v="7"/>
    <n v="3"/>
  </r>
  <r>
    <n v="904"/>
    <x v="0"/>
    <x v="11"/>
    <n v="4"/>
    <s v="Tuesday"/>
    <s v="July"/>
    <m/>
    <d v="2023-07-04T00:00:00"/>
    <s v="CUST904"/>
    <x v="0"/>
    <n v="22"/>
    <x v="2"/>
    <x v="1"/>
    <n v="1"/>
    <n v="500"/>
    <x v="3"/>
    <n v="7.5"/>
  </r>
  <r>
    <n v="905"/>
    <x v="0"/>
    <x v="4"/>
    <n v="2"/>
    <s v="Sunday"/>
    <s v="April"/>
    <m/>
    <d v="2023-04-02T00:00:00"/>
    <s v="CUST905"/>
    <x v="0"/>
    <n v="22"/>
    <x v="2"/>
    <x v="0"/>
    <n v="1"/>
    <n v="300"/>
    <x v="13"/>
    <n v="4.5"/>
  </r>
  <r>
    <n v="906"/>
    <x v="0"/>
    <x v="10"/>
    <n v="4"/>
    <s v="Sunday"/>
    <s v="June"/>
    <m/>
    <d v="2023-06-04T00:00:00"/>
    <s v="CUST906"/>
    <x v="1"/>
    <n v="22"/>
    <x v="2"/>
    <x v="1"/>
    <n v="1"/>
    <n v="50"/>
    <x v="5"/>
    <n v="0.75"/>
  </r>
  <r>
    <n v="907"/>
    <x v="0"/>
    <x v="2"/>
    <n v="8"/>
    <s v="Sunday"/>
    <s v="January"/>
    <m/>
    <d v="2023-01-08T00:00:00"/>
    <s v="CUST907"/>
    <x v="1"/>
    <n v="22"/>
    <x v="2"/>
    <x v="2"/>
    <n v="1"/>
    <n v="25"/>
    <x v="16"/>
    <n v="0.375"/>
  </r>
  <r>
    <n v="908"/>
    <x v="0"/>
    <x v="6"/>
    <n v="29"/>
    <s v="Friday"/>
    <s v="December"/>
    <m/>
    <d v="2023-12-29T00:00:00"/>
    <s v="CUST908"/>
    <x v="0"/>
    <n v="22"/>
    <x v="2"/>
    <x v="0"/>
    <n v="4"/>
    <n v="300"/>
    <x v="14"/>
    <n v="18"/>
  </r>
  <r>
    <n v="909"/>
    <x v="0"/>
    <x v="7"/>
    <n v="1"/>
    <s v="Sunday"/>
    <s v="October"/>
    <m/>
    <d v="2023-10-01T00:00:00"/>
    <s v="CUST909"/>
    <x v="0"/>
    <n v="22"/>
    <x v="2"/>
    <x v="2"/>
    <n v="1"/>
    <n v="300"/>
    <x v="13"/>
    <n v="4.5"/>
  </r>
  <r>
    <n v="910"/>
    <x v="0"/>
    <x v="5"/>
    <n v="6"/>
    <s v="Monday"/>
    <s v="March"/>
    <m/>
    <d v="2023-03-06T00:00:00"/>
    <s v="CUST910"/>
    <x v="1"/>
    <n v="22"/>
    <x v="2"/>
    <x v="0"/>
    <n v="3"/>
    <n v="50"/>
    <x v="0"/>
    <n v="2.25"/>
  </r>
  <r>
    <n v="911"/>
    <x v="0"/>
    <x v="3"/>
    <n v="21"/>
    <s v="Sunday"/>
    <s v="May"/>
    <m/>
    <d v="2023-05-21T00:00:00"/>
    <s v="CUST911"/>
    <x v="0"/>
    <n v="22"/>
    <x v="2"/>
    <x v="2"/>
    <n v="3"/>
    <n v="300"/>
    <x v="12"/>
    <n v="13.5"/>
  </r>
  <r>
    <n v="912"/>
    <x v="0"/>
    <x v="2"/>
    <n v="24"/>
    <s v="Tuesday"/>
    <s v="January"/>
    <m/>
    <d v="2023-01-24T00:00:00"/>
    <s v="CUST912"/>
    <x v="0"/>
    <n v="22"/>
    <x v="2"/>
    <x v="0"/>
    <n v="3"/>
    <n v="50"/>
    <x v="0"/>
    <n v="2.25"/>
  </r>
  <r>
    <n v="913"/>
    <x v="0"/>
    <x v="2"/>
    <n v="28"/>
    <s v="Saturday"/>
    <s v="January"/>
    <m/>
    <d v="2023-01-28T00:00:00"/>
    <s v="CUST913"/>
    <x v="0"/>
    <n v="22"/>
    <x v="2"/>
    <x v="2"/>
    <n v="3"/>
    <n v="30"/>
    <x v="15"/>
    <n v="1.3499999999999999"/>
  </r>
  <r>
    <n v="914"/>
    <x v="0"/>
    <x v="7"/>
    <n v="11"/>
    <s v="Wednesday"/>
    <s v="October"/>
    <m/>
    <d v="2023-10-11T00:00:00"/>
    <s v="CUST914"/>
    <x v="1"/>
    <n v="22"/>
    <x v="2"/>
    <x v="2"/>
    <n v="1"/>
    <n v="500"/>
    <x v="3"/>
    <n v="7.5"/>
  </r>
  <r>
    <n v="915"/>
    <x v="0"/>
    <x v="3"/>
    <n v="30"/>
    <s v="Tuesday"/>
    <s v="May"/>
    <m/>
    <d v="2023-05-30T00:00:00"/>
    <s v="CUST915"/>
    <x v="1"/>
    <n v="22"/>
    <x v="2"/>
    <x v="0"/>
    <n v="3"/>
    <n v="30"/>
    <x v="15"/>
    <n v="1.3499999999999999"/>
  </r>
  <r>
    <n v="916"/>
    <x v="0"/>
    <x v="6"/>
    <n v="24"/>
    <s v="Sunday"/>
    <s v="December"/>
    <m/>
    <d v="2023-12-24T00:00:00"/>
    <s v="CUST916"/>
    <x v="1"/>
    <n v="22"/>
    <x v="2"/>
    <x v="2"/>
    <n v="1"/>
    <n v="50"/>
    <x v="5"/>
    <n v="0.75"/>
  </r>
  <r>
    <n v="917"/>
    <x v="0"/>
    <x v="5"/>
    <n v="6"/>
    <s v="Monday"/>
    <s v="March"/>
    <m/>
    <d v="2023-03-06T00:00:00"/>
    <s v="CUST917"/>
    <x v="1"/>
    <n v="22"/>
    <x v="2"/>
    <x v="2"/>
    <n v="4"/>
    <n v="50"/>
    <x v="7"/>
    <n v="3"/>
  </r>
  <r>
    <n v="918"/>
    <x v="0"/>
    <x v="0"/>
    <n v="23"/>
    <s v="Thursday"/>
    <s v="November"/>
    <m/>
    <d v="2023-11-23T00:00:00"/>
    <s v="CUST918"/>
    <x v="1"/>
    <n v="21"/>
    <x v="2"/>
    <x v="2"/>
    <n v="3"/>
    <n v="30"/>
    <x v="15"/>
    <n v="1.3499999999999999"/>
  </r>
  <r>
    <n v="919"/>
    <x v="0"/>
    <x v="9"/>
    <n v="9"/>
    <s v="Saturday"/>
    <s v="September"/>
    <m/>
    <d v="2023-09-09T00:00:00"/>
    <s v="CUST919"/>
    <x v="1"/>
    <n v="21"/>
    <x v="2"/>
    <x v="0"/>
    <n v="2"/>
    <n v="25"/>
    <x v="5"/>
    <n v="0.75"/>
  </r>
  <r>
    <n v="920"/>
    <x v="0"/>
    <x v="1"/>
    <n v="22"/>
    <s v="Wednesday"/>
    <s v="February"/>
    <m/>
    <d v="2023-02-22T00:00:00"/>
    <s v="CUST920"/>
    <x v="1"/>
    <n v="21"/>
    <x v="2"/>
    <x v="0"/>
    <n v="3"/>
    <n v="25"/>
    <x v="8"/>
    <n v="1.125"/>
  </r>
  <r>
    <n v="921"/>
    <x v="0"/>
    <x v="2"/>
    <n v="7"/>
    <s v="Saturday"/>
    <s v="January"/>
    <m/>
    <d v="2023-01-07T00:00:00"/>
    <s v="CUST921"/>
    <x v="0"/>
    <n v="21"/>
    <x v="2"/>
    <x v="2"/>
    <n v="3"/>
    <n v="25"/>
    <x v="8"/>
    <n v="1.125"/>
  </r>
  <r>
    <n v="922"/>
    <x v="0"/>
    <x v="7"/>
    <n v="21"/>
    <s v="Saturday"/>
    <s v="October"/>
    <m/>
    <d v="2023-10-21T00:00:00"/>
    <s v="CUST922"/>
    <x v="0"/>
    <n v="21"/>
    <x v="2"/>
    <x v="2"/>
    <n v="1"/>
    <n v="50"/>
    <x v="5"/>
    <n v="0.75"/>
  </r>
  <r>
    <n v="923"/>
    <x v="0"/>
    <x v="3"/>
    <n v="26"/>
    <s v="Friday"/>
    <s v="May"/>
    <m/>
    <d v="2023-05-26T00:00:00"/>
    <s v="CUST923"/>
    <x v="0"/>
    <n v="21"/>
    <x v="2"/>
    <x v="0"/>
    <n v="3"/>
    <n v="300"/>
    <x v="12"/>
    <n v="13.5"/>
  </r>
  <r>
    <n v="924"/>
    <x v="0"/>
    <x v="8"/>
    <n v="29"/>
    <s v="Tuesday"/>
    <s v="August"/>
    <m/>
    <d v="2023-08-29T00:00:00"/>
    <s v="CUST924"/>
    <x v="0"/>
    <n v="21"/>
    <x v="2"/>
    <x v="0"/>
    <n v="2"/>
    <n v="50"/>
    <x v="4"/>
    <n v="1.5"/>
  </r>
  <r>
    <n v="925"/>
    <x v="0"/>
    <x v="9"/>
    <n v="3"/>
    <s v="Sunday"/>
    <s v="September"/>
    <m/>
    <d v="2023-09-03T00:00:00"/>
    <s v="CUST925"/>
    <x v="0"/>
    <n v="21"/>
    <x v="2"/>
    <x v="2"/>
    <n v="1"/>
    <n v="300"/>
    <x v="13"/>
    <n v="4.5"/>
  </r>
  <r>
    <n v="926"/>
    <x v="0"/>
    <x v="8"/>
    <n v="14"/>
    <s v="Monday"/>
    <s v="August"/>
    <m/>
    <d v="2023-08-14T00:00:00"/>
    <s v="CUST926"/>
    <x v="0"/>
    <n v="21"/>
    <x v="2"/>
    <x v="2"/>
    <n v="1"/>
    <n v="30"/>
    <x v="2"/>
    <n v="0.44999999999999996"/>
  </r>
  <r>
    <n v="927"/>
    <x v="0"/>
    <x v="10"/>
    <n v="24"/>
    <s v="Saturday"/>
    <s v="June"/>
    <m/>
    <d v="2023-06-24T00:00:00"/>
    <s v="CUST927"/>
    <x v="0"/>
    <n v="21"/>
    <x v="2"/>
    <x v="2"/>
    <n v="4"/>
    <n v="500"/>
    <x v="11"/>
    <n v="30"/>
  </r>
  <r>
    <n v="928"/>
    <x v="0"/>
    <x v="4"/>
    <n v="5"/>
    <s v="Wednesday"/>
    <s v="April"/>
    <m/>
    <d v="2023-04-05T00:00:00"/>
    <s v="CUST928"/>
    <x v="1"/>
    <n v="21"/>
    <x v="2"/>
    <x v="1"/>
    <n v="4"/>
    <n v="300"/>
    <x v="14"/>
    <n v="18"/>
  </r>
  <r>
    <n v="929"/>
    <x v="0"/>
    <x v="2"/>
    <n v="27"/>
    <s v="Friday"/>
    <s v="January"/>
    <m/>
    <d v="2023-01-27T00:00:00"/>
    <s v="CUST929"/>
    <x v="1"/>
    <n v="21"/>
    <x v="2"/>
    <x v="0"/>
    <n v="3"/>
    <n v="25"/>
    <x v="8"/>
    <n v="1.125"/>
  </r>
  <r>
    <n v="930"/>
    <x v="0"/>
    <x v="3"/>
    <n v="10"/>
    <s v="Wednesday"/>
    <s v="May"/>
    <m/>
    <d v="2023-05-10T00:00:00"/>
    <s v="CUST930"/>
    <x v="0"/>
    <n v="21"/>
    <x v="2"/>
    <x v="1"/>
    <n v="4"/>
    <n v="50"/>
    <x v="7"/>
    <n v="3"/>
  </r>
  <r>
    <n v="931"/>
    <x v="0"/>
    <x v="9"/>
    <n v="2"/>
    <s v="Saturday"/>
    <s v="September"/>
    <m/>
    <d v="2023-09-02T00:00:00"/>
    <s v="CUST931"/>
    <x v="0"/>
    <n v="21"/>
    <x v="2"/>
    <x v="0"/>
    <n v="4"/>
    <n v="30"/>
    <x v="10"/>
    <n v="1.7999999999999998"/>
  </r>
  <r>
    <n v="932"/>
    <x v="0"/>
    <x v="1"/>
    <n v="28"/>
    <s v="Tuesday"/>
    <s v="February"/>
    <m/>
    <d v="2023-02-28T00:00:00"/>
    <s v="CUST932"/>
    <x v="1"/>
    <n v="21"/>
    <x v="2"/>
    <x v="0"/>
    <n v="4"/>
    <n v="25"/>
    <x v="4"/>
    <n v="1.5"/>
  </r>
  <r>
    <n v="933"/>
    <x v="0"/>
    <x v="1"/>
    <n v="3"/>
    <s v="Friday"/>
    <s v="February"/>
    <m/>
    <d v="2023-02-03T00:00:00"/>
    <s v="CUST933"/>
    <x v="0"/>
    <n v="21"/>
    <x v="2"/>
    <x v="0"/>
    <n v="1"/>
    <n v="30"/>
    <x v="2"/>
    <n v="0.44999999999999996"/>
  </r>
  <r>
    <n v="934"/>
    <x v="0"/>
    <x v="11"/>
    <n v="25"/>
    <s v="Tuesday"/>
    <s v="July"/>
    <m/>
    <d v="2023-07-25T00:00:00"/>
    <s v="CUST934"/>
    <x v="0"/>
    <n v="21"/>
    <x v="2"/>
    <x v="0"/>
    <n v="1"/>
    <n v="500"/>
    <x v="3"/>
    <n v="7.5"/>
  </r>
  <r>
    <n v="935"/>
    <x v="0"/>
    <x v="9"/>
    <n v="9"/>
    <s v="Saturday"/>
    <s v="September"/>
    <m/>
    <d v="2023-09-09T00:00:00"/>
    <s v="CUST935"/>
    <x v="1"/>
    <n v="21"/>
    <x v="2"/>
    <x v="0"/>
    <n v="1"/>
    <n v="50"/>
    <x v="5"/>
    <n v="0.75"/>
  </r>
  <r>
    <n v="936"/>
    <x v="0"/>
    <x v="1"/>
    <n v="7"/>
    <s v="Tuesday"/>
    <s v="February"/>
    <m/>
    <d v="2023-02-07T00:00:00"/>
    <s v="CUST936"/>
    <x v="0"/>
    <n v="21"/>
    <x v="2"/>
    <x v="0"/>
    <n v="4"/>
    <n v="50"/>
    <x v="7"/>
    <n v="3"/>
  </r>
  <r>
    <n v="937"/>
    <x v="0"/>
    <x v="7"/>
    <n v="23"/>
    <s v="Monday"/>
    <s v="October"/>
    <m/>
    <d v="2023-10-23T00:00:00"/>
    <s v="CUST937"/>
    <x v="1"/>
    <n v="21"/>
    <x v="2"/>
    <x v="0"/>
    <n v="1"/>
    <n v="500"/>
    <x v="3"/>
    <n v="7.5"/>
  </r>
  <r>
    <n v="938"/>
    <x v="0"/>
    <x v="0"/>
    <n v="19"/>
    <s v="Sunday"/>
    <s v="November"/>
    <m/>
    <d v="2023-11-19T00:00:00"/>
    <s v="CUST938"/>
    <x v="0"/>
    <n v="20"/>
    <x v="2"/>
    <x v="1"/>
    <n v="4"/>
    <n v="50"/>
    <x v="7"/>
    <n v="3"/>
  </r>
  <r>
    <n v="939"/>
    <x v="0"/>
    <x v="6"/>
    <n v="18"/>
    <s v="Monday"/>
    <s v="December"/>
    <m/>
    <d v="2023-12-18T00:00:00"/>
    <s v="CUST939"/>
    <x v="1"/>
    <n v="20"/>
    <x v="2"/>
    <x v="2"/>
    <n v="1"/>
    <n v="300"/>
    <x v="13"/>
    <n v="4.5"/>
  </r>
  <r>
    <n v="940"/>
    <x v="0"/>
    <x v="2"/>
    <n v="28"/>
    <s v="Saturday"/>
    <s v="January"/>
    <m/>
    <d v="2023-01-28T00:00:00"/>
    <s v="CUST940"/>
    <x v="1"/>
    <n v="20"/>
    <x v="2"/>
    <x v="2"/>
    <n v="1"/>
    <n v="30"/>
    <x v="2"/>
    <n v="0.44999999999999996"/>
  </r>
  <r>
    <n v="941"/>
    <x v="0"/>
    <x v="5"/>
    <n v="19"/>
    <s v="Sunday"/>
    <s v="March"/>
    <m/>
    <d v="2023-03-19T00:00:00"/>
    <s v="CUST941"/>
    <x v="1"/>
    <n v="20"/>
    <x v="2"/>
    <x v="1"/>
    <n v="2"/>
    <n v="25"/>
    <x v="5"/>
    <n v="0.75"/>
  </r>
  <r>
    <n v="942"/>
    <x v="0"/>
    <x v="5"/>
    <n v="18"/>
    <s v="Saturday"/>
    <s v="March"/>
    <m/>
    <d v="2023-03-18T00:00:00"/>
    <s v="CUST942"/>
    <x v="0"/>
    <n v="20"/>
    <x v="2"/>
    <x v="1"/>
    <n v="3"/>
    <n v="500"/>
    <x v="9"/>
    <n v="22.5"/>
  </r>
  <r>
    <n v="943"/>
    <x v="0"/>
    <x v="7"/>
    <n v="16"/>
    <s v="Monday"/>
    <s v="October"/>
    <m/>
    <d v="2023-10-16T00:00:00"/>
    <s v="CUST943"/>
    <x v="1"/>
    <n v="20"/>
    <x v="2"/>
    <x v="1"/>
    <n v="4"/>
    <n v="300"/>
    <x v="14"/>
    <n v="18"/>
  </r>
  <r>
    <n v="944"/>
    <x v="0"/>
    <x v="10"/>
    <n v="5"/>
    <s v="Monday"/>
    <s v="June"/>
    <m/>
    <d v="2023-06-05T00:00:00"/>
    <s v="CUST944"/>
    <x v="0"/>
    <n v="20"/>
    <x v="2"/>
    <x v="1"/>
    <n v="2"/>
    <n v="25"/>
    <x v="5"/>
    <n v="0.75"/>
  </r>
  <r>
    <n v="945"/>
    <x v="0"/>
    <x v="1"/>
    <n v="13"/>
    <s v="Monday"/>
    <s v="February"/>
    <m/>
    <d v="2023-02-13T00:00:00"/>
    <s v="CUST945"/>
    <x v="0"/>
    <n v="20"/>
    <x v="2"/>
    <x v="0"/>
    <n v="1"/>
    <n v="25"/>
    <x v="16"/>
    <n v="0.375"/>
  </r>
  <r>
    <n v="946"/>
    <x v="0"/>
    <x v="3"/>
    <n v="8"/>
    <s v="Monday"/>
    <s v="May"/>
    <m/>
    <d v="2023-05-08T00:00:00"/>
    <s v="CUST946"/>
    <x v="0"/>
    <n v="20"/>
    <x v="2"/>
    <x v="2"/>
    <n v="4"/>
    <n v="500"/>
    <x v="11"/>
    <n v="30"/>
  </r>
  <r>
    <n v="947"/>
    <x v="0"/>
    <x v="5"/>
    <n v="2"/>
    <s v="Thursday"/>
    <s v="March"/>
    <m/>
    <d v="2023-03-02T00:00:00"/>
    <s v="CUST947"/>
    <x v="0"/>
    <n v="20"/>
    <x v="2"/>
    <x v="0"/>
    <n v="1"/>
    <n v="300"/>
    <x v="13"/>
    <n v="4.5"/>
  </r>
  <r>
    <n v="948"/>
    <x v="0"/>
    <x v="7"/>
    <n v="13"/>
    <s v="Friday"/>
    <s v="October"/>
    <m/>
    <d v="2023-10-13T00:00:00"/>
    <s v="CUST948"/>
    <x v="1"/>
    <n v="20"/>
    <x v="2"/>
    <x v="2"/>
    <n v="3"/>
    <n v="25"/>
    <x v="8"/>
    <n v="1.125"/>
  </r>
  <r>
    <n v="949"/>
    <x v="0"/>
    <x v="8"/>
    <n v="2"/>
    <s v="Wednesday"/>
    <s v="August"/>
    <m/>
    <d v="2023-08-02T00:00:00"/>
    <s v="CUST949"/>
    <x v="1"/>
    <n v="20"/>
    <x v="2"/>
    <x v="2"/>
    <n v="2"/>
    <n v="25"/>
    <x v="5"/>
    <n v="0.75"/>
  </r>
  <r>
    <n v="950"/>
    <x v="0"/>
    <x v="0"/>
    <n v="7"/>
    <s v="Tuesday"/>
    <s v="November"/>
    <m/>
    <d v="2023-11-07T00:00:00"/>
    <s v="CUST950"/>
    <x v="0"/>
    <n v="20"/>
    <x v="2"/>
    <x v="1"/>
    <n v="3"/>
    <n v="300"/>
    <x v="12"/>
    <n v="13.5"/>
  </r>
  <r>
    <n v="951"/>
    <x v="0"/>
    <x v="0"/>
    <n v="2"/>
    <s v="Thursday"/>
    <s v="November"/>
    <m/>
    <d v="2023-11-02T00:00:00"/>
    <s v="CUST951"/>
    <x v="0"/>
    <n v="20"/>
    <x v="2"/>
    <x v="0"/>
    <n v="2"/>
    <n v="50"/>
    <x v="4"/>
    <n v="1.5"/>
  </r>
  <r>
    <n v="952"/>
    <x v="0"/>
    <x v="0"/>
    <n v="13"/>
    <s v="Monday"/>
    <s v="November"/>
    <m/>
    <d v="2023-11-13T00:00:00"/>
    <s v="CUST952"/>
    <x v="1"/>
    <n v="20"/>
    <x v="2"/>
    <x v="1"/>
    <n v="1"/>
    <n v="25"/>
    <x v="16"/>
    <n v="0.375"/>
  </r>
  <r>
    <n v="953"/>
    <x v="0"/>
    <x v="4"/>
    <n v="26"/>
    <s v="Wednesday"/>
    <s v="April"/>
    <m/>
    <d v="2023-04-26T00:00:00"/>
    <s v="CUST953"/>
    <x v="0"/>
    <n v="20"/>
    <x v="2"/>
    <x v="0"/>
    <n v="3"/>
    <n v="30"/>
    <x v="15"/>
    <n v="1.3499999999999999"/>
  </r>
  <r>
    <n v="954"/>
    <x v="0"/>
    <x v="9"/>
    <n v="25"/>
    <s v="Monday"/>
    <s v="September"/>
    <m/>
    <d v="2023-09-25T00:00:00"/>
    <s v="CUST954"/>
    <x v="1"/>
    <n v="20"/>
    <x v="2"/>
    <x v="2"/>
    <n v="3"/>
    <n v="300"/>
    <x v="12"/>
    <n v="13.5"/>
  </r>
  <r>
    <n v="955"/>
    <x v="0"/>
    <x v="11"/>
    <n v="14"/>
    <s v="Friday"/>
    <s v="July"/>
    <m/>
    <d v="2023-07-14T00:00:00"/>
    <s v="CUST955"/>
    <x v="0"/>
    <n v="20"/>
    <x v="2"/>
    <x v="1"/>
    <n v="1"/>
    <n v="25"/>
    <x v="16"/>
    <n v="0.375"/>
  </r>
  <r>
    <n v="956"/>
    <x v="0"/>
    <x v="8"/>
    <n v="19"/>
    <s v="Saturday"/>
    <s v="August"/>
    <m/>
    <d v="2023-08-19T00:00:00"/>
    <s v="CUST956"/>
    <x v="0"/>
    <n v="20"/>
    <x v="2"/>
    <x v="1"/>
    <n v="3"/>
    <n v="500"/>
    <x v="9"/>
    <n v="22.5"/>
  </r>
  <r>
    <n v="957"/>
    <x v="0"/>
    <x v="8"/>
    <n v="15"/>
    <s v="Tuesday"/>
    <s v="August"/>
    <m/>
    <d v="2023-08-15T00:00:00"/>
    <s v="CUST957"/>
    <x v="1"/>
    <n v="20"/>
    <x v="2"/>
    <x v="2"/>
    <n v="4"/>
    <n v="30"/>
    <x v="10"/>
    <n v="1.7999999999999998"/>
  </r>
  <r>
    <n v="958"/>
    <x v="0"/>
    <x v="10"/>
    <n v="2"/>
    <s v="Friday"/>
    <s v="June"/>
    <m/>
    <d v="2023-06-02T00:00:00"/>
    <s v="CUST958"/>
    <x v="0"/>
    <n v="20"/>
    <x v="2"/>
    <x v="2"/>
    <n v="2"/>
    <n v="25"/>
    <x v="5"/>
    <n v="0.75"/>
  </r>
  <r>
    <n v="959"/>
    <x v="0"/>
    <x v="7"/>
    <n v="29"/>
    <s v="Sunday"/>
    <s v="October"/>
    <m/>
    <d v="2023-10-29T00:00:00"/>
    <s v="CUST959"/>
    <x v="1"/>
    <n v="19"/>
    <x v="2"/>
    <x v="2"/>
    <n v="2"/>
    <n v="30"/>
    <x v="17"/>
    <n v="0.89999999999999991"/>
  </r>
  <r>
    <n v="960"/>
    <x v="0"/>
    <x v="8"/>
    <n v="8"/>
    <s v="Tuesday"/>
    <s v="August"/>
    <m/>
    <d v="2023-08-08T00:00:00"/>
    <s v="CUST960"/>
    <x v="0"/>
    <n v="19"/>
    <x v="2"/>
    <x v="1"/>
    <n v="2"/>
    <n v="30"/>
    <x v="17"/>
    <n v="0.89999999999999991"/>
  </r>
  <r>
    <n v="961"/>
    <x v="0"/>
    <x v="10"/>
    <n v="6"/>
    <s v="Tuesday"/>
    <s v="June"/>
    <m/>
    <d v="2023-06-06T00:00:00"/>
    <s v="CUST961"/>
    <x v="0"/>
    <n v="19"/>
    <x v="2"/>
    <x v="0"/>
    <n v="4"/>
    <n v="50"/>
    <x v="7"/>
    <n v="3"/>
  </r>
  <r>
    <n v="962"/>
    <x v="0"/>
    <x v="7"/>
    <n v="19"/>
    <s v="Thursday"/>
    <s v="October"/>
    <m/>
    <d v="2023-10-19T00:00:00"/>
    <s v="CUST962"/>
    <x v="0"/>
    <n v="19"/>
    <x v="2"/>
    <x v="1"/>
    <n v="2"/>
    <n v="30"/>
    <x v="17"/>
    <n v="0.89999999999999991"/>
  </r>
  <r>
    <n v="963"/>
    <x v="0"/>
    <x v="0"/>
    <n v="14"/>
    <s v="Tuesday"/>
    <s v="November"/>
    <m/>
    <d v="2023-11-14T00:00:00"/>
    <s v="CUST963"/>
    <x v="1"/>
    <n v="19"/>
    <x v="2"/>
    <x v="0"/>
    <n v="1"/>
    <n v="50"/>
    <x v="5"/>
    <n v="0.75"/>
  </r>
  <r>
    <n v="964"/>
    <x v="0"/>
    <x v="2"/>
    <n v="31"/>
    <s v="Tuesday"/>
    <s v="January"/>
    <m/>
    <d v="2023-01-31T00:00:00"/>
    <s v="CUST964"/>
    <x v="0"/>
    <n v="19"/>
    <x v="2"/>
    <x v="1"/>
    <n v="3"/>
    <n v="300"/>
    <x v="12"/>
    <n v="13.5"/>
  </r>
  <r>
    <n v="965"/>
    <x v="0"/>
    <x v="0"/>
    <n v="9"/>
    <s v="Thursday"/>
    <s v="November"/>
    <m/>
    <d v="2023-11-09T00:00:00"/>
    <s v="CUST965"/>
    <x v="0"/>
    <n v="19"/>
    <x v="2"/>
    <x v="1"/>
    <n v="4"/>
    <n v="50"/>
    <x v="7"/>
    <n v="3"/>
  </r>
  <r>
    <n v="966"/>
    <x v="0"/>
    <x v="1"/>
    <n v="20"/>
    <s v="Monday"/>
    <s v="February"/>
    <m/>
    <d v="2023-02-20T00:00:00"/>
    <s v="CUST966"/>
    <x v="0"/>
    <n v="19"/>
    <x v="2"/>
    <x v="2"/>
    <n v="2"/>
    <n v="500"/>
    <x v="1"/>
    <n v="15"/>
  </r>
  <r>
    <n v="967"/>
    <x v="0"/>
    <x v="4"/>
    <n v="17"/>
    <s v="Monday"/>
    <s v="April"/>
    <m/>
    <d v="2023-04-17T00:00:00"/>
    <s v="CUST967"/>
    <x v="0"/>
    <n v="19"/>
    <x v="2"/>
    <x v="0"/>
    <n v="1"/>
    <n v="25"/>
    <x v="16"/>
    <n v="0.375"/>
  </r>
  <r>
    <n v="968"/>
    <x v="0"/>
    <x v="0"/>
    <n v="17"/>
    <s v="Friday"/>
    <s v="November"/>
    <m/>
    <d v="2023-11-17T00:00:00"/>
    <s v="CUST968"/>
    <x v="1"/>
    <n v="19"/>
    <x v="2"/>
    <x v="1"/>
    <n v="3"/>
    <n v="300"/>
    <x v="12"/>
    <n v="13.5"/>
  </r>
  <r>
    <n v="969"/>
    <x v="0"/>
    <x v="4"/>
    <n v="19"/>
    <s v="Wednesday"/>
    <s v="April"/>
    <m/>
    <d v="2023-04-19T00:00:00"/>
    <s v="CUST969"/>
    <x v="1"/>
    <n v="19"/>
    <x v="2"/>
    <x v="1"/>
    <n v="3"/>
    <n v="300"/>
    <x v="12"/>
    <n v="13.5"/>
  </r>
  <r>
    <n v="970"/>
    <x v="0"/>
    <x v="3"/>
    <n v="16"/>
    <s v="Tuesday"/>
    <s v="May"/>
    <m/>
    <d v="2023-05-16T00:00:00"/>
    <s v="CUST970"/>
    <x v="0"/>
    <n v="19"/>
    <x v="2"/>
    <x v="2"/>
    <n v="4"/>
    <n v="500"/>
    <x v="11"/>
    <n v="30"/>
  </r>
  <r>
    <n v="971"/>
    <x v="0"/>
    <x v="6"/>
    <n v="5"/>
    <s v="Tuesday"/>
    <s v="December"/>
    <m/>
    <d v="2023-12-05T00:00:00"/>
    <s v="CUST971"/>
    <x v="1"/>
    <n v="19"/>
    <x v="2"/>
    <x v="2"/>
    <n v="4"/>
    <n v="50"/>
    <x v="7"/>
    <n v="3"/>
  </r>
  <r>
    <n v="972"/>
    <x v="0"/>
    <x v="1"/>
    <n v="11"/>
    <s v="Saturday"/>
    <s v="February"/>
    <m/>
    <d v="2023-02-11T00:00:00"/>
    <s v="CUST972"/>
    <x v="0"/>
    <n v="19"/>
    <x v="2"/>
    <x v="0"/>
    <n v="4"/>
    <n v="25"/>
    <x v="4"/>
    <n v="1.5"/>
  </r>
  <r>
    <n v="973"/>
    <x v="0"/>
    <x v="5"/>
    <n v="22"/>
    <s v="Wednesday"/>
    <s v="March"/>
    <m/>
    <d v="2023-03-22T00:00:00"/>
    <s v="CUST973"/>
    <x v="0"/>
    <n v="19"/>
    <x v="2"/>
    <x v="1"/>
    <n v="1"/>
    <n v="50"/>
    <x v="5"/>
    <n v="0.75"/>
  </r>
  <r>
    <n v="974"/>
    <x v="0"/>
    <x v="3"/>
    <n v="3"/>
    <s v="Wednesday"/>
    <s v="May"/>
    <m/>
    <d v="2023-05-03T00:00:00"/>
    <s v="CUST974"/>
    <x v="0"/>
    <n v="19"/>
    <x v="2"/>
    <x v="0"/>
    <n v="1"/>
    <n v="30"/>
    <x v="2"/>
    <n v="0.44999999999999996"/>
  </r>
  <r>
    <n v="975"/>
    <x v="0"/>
    <x v="5"/>
    <n v="30"/>
    <s v="Thursday"/>
    <s v="March"/>
    <m/>
    <d v="2023-03-30T00:00:00"/>
    <s v="CUST975"/>
    <x v="1"/>
    <n v="19"/>
    <x v="2"/>
    <x v="1"/>
    <n v="4"/>
    <n v="50"/>
    <x v="7"/>
    <n v="3"/>
  </r>
  <r>
    <n v="976"/>
    <x v="0"/>
    <x v="7"/>
    <n v="10"/>
    <s v="Tuesday"/>
    <s v="October"/>
    <m/>
    <d v="2023-10-10T00:00:00"/>
    <s v="CUST976"/>
    <x v="1"/>
    <n v="19"/>
    <x v="2"/>
    <x v="0"/>
    <n v="2"/>
    <n v="300"/>
    <x v="6"/>
    <n v="9"/>
  </r>
  <r>
    <n v="977"/>
    <x v="0"/>
    <x v="1"/>
    <n v="8"/>
    <s v="Wednesday"/>
    <s v="February"/>
    <m/>
    <d v="2023-02-08T00:00:00"/>
    <s v="CUST977"/>
    <x v="1"/>
    <n v="19"/>
    <x v="2"/>
    <x v="2"/>
    <n v="3"/>
    <n v="25"/>
    <x v="8"/>
    <n v="1.125"/>
  </r>
  <r>
    <n v="978"/>
    <x v="0"/>
    <x v="5"/>
    <n v="22"/>
    <s v="Wednesday"/>
    <s v="March"/>
    <m/>
    <d v="2023-03-22T00:00:00"/>
    <s v="CUST978"/>
    <x v="1"/>
    <n v="19"/>
    <x v="2"/>
    <x v="1"/>
    <n v="3"/>
    <n v="50"/>
    <x v="0"/>
    <n v="2.25"/>
  </r>
  <r>
    <n v="979"/>
    <x v="0"/>
    <x v="2"/>
    <n v="2"/>
    <s v="Monday"/>
    <s v="January"/>
    <m/>
    <d v="2023-01-02T00:00:00"/>
    <s v="CUST979"/>
    <x v="1"/>
    <n v="19"/>
    <x v="2"/>
    <x v="0"/>
    <n v="1"/>
    <n v="25"/>
    <x v="16"/>
    <n v="0.375"/>
  </r>
  <r>
    <n v="980"/>
    <x v="0"/>
    <x v="11"/>
    <n v="29"/>
    <s v="Saturday"/>
    <s v="July"/>
    <m/>
    <d v="2023-07-29T00:00:00"/>
    <s v="CUST980"/>
    <x v="1"/>
    <n v="18"/>
    <x v="2"/>
    <x v="2"/>
    <n v="3"/>
    <n v="25"/>
    <x v="8"/>
    <n v="1.125"/>
  </r>
  <r>
    <n v="981"/>
    <x v="0"/>
    <x v="8"/>
    <n v="19"/>
    <s v="Saturday"/>
    <s v="August"/>
    <m/>
    <d v="2023-08-19T00:00:00"/>
    <s v="CUST981"/>
    <x v="1"/>
    <n v="18"/>
    <x v="2"/>
    <x v="2"/>
    <n v="2"/>
    <n v="30"/>
    <x v="17"/>
    <n v="0.89999999999999991"/>
  </r>
  <r>
    <n v="982"/>
    <x v="0"/>
    <x v="6"/>
    <n v="19"/>
    <s v="Tuesday"/>
    <s v="December"/>
    <m/>
    <d v="2023-12-19T00:00:00"/>
    <s v="CUST982"/>
    <x v="1"/>
    <n v="18"/>
    <x v="2"/>
    <x v="0"/>
    <n v="3"/>
    <n v="30"/>
    <x v="15"/>
    <n v="1.3499999999999999"/>
  </r>
  <r>
    <n v="983"/>
    <x v="0"/>
    <x v="0"/>
    <n v="1"/>
    <s v="Wednesday"/>
    <s v="November"/>
    <m/>
    <d v="2023-11-01T00:00:00"/>
    <s v="CUST983"/>
    <x v="1"/>
    <n v="18"/>
    <x v="2"/>
    <x v="1"/>
    <n v="1"/>
    <n v="300"/>
    <x v="13"/>
    <n v="4.5"/>
  </r>
  <r>
    <n v="984"/>
    <x v="0"/>
    <x v="8"/>
    <n v="29"/>
    <s v="Tuesday"/>
    <s v="August"/>
    <m/>
    <d v="2023-08-29T00:00:00"/>
    <s v="CUST984"/>
    <x v="0"/>
    <n v="18"/>
    <x v="2"/>
    <x v="1"/>
    <n v="1"/>
    <n v="500"/>
    <x v="3"/>
    <n v="7.5"/>
  </r>
  <r>
    <n v="985"/>
    <x v="0"/>
    <x v="3"/>
    <n v="30"/>
    <s v="Tuesday"/>
    <s v="May"/>
    <m/>
    <d v="2023-05-30T00:00:00"/>
    <s v="CUST985"/>
    <x v="1"/>
    <n v="18"/>
    <x v="2"/>
    <x v="2"/>
    <n v="2"/>
    <n v="25"/>
    <x v="5"/>
    <n v="0.75"/>
  </r>
  <r>
    <n v="986"/>
    <x v="0"/>
    <x v="2"/>
    <n v="17"/>
    <s v="Tuesday"/>
    <s v="January"/>
    <m/>
    <d v="2023-01-17T00:00:00"/>
    <s v="CUST986"/>
    <x v="1"/>
    <n v="18"/>
    <x v="2"/>
    <x v="1"/>
    <n v="2"/>
    <n v="500"/>
    <x v="1"/>
    <n v="15"/>
  </r>
  <r>
    <n v="987"/>
    <x v="0"/>
    <x v="4"/>
    <n v="29"/>
    <s v="Saturday"/>
    <s v="April"/>
    <m/>
    <d v="2023-04-29T00:00:00"/>
    <s v="CUST987"/>
    <x v="1"/>
    <n v="18"/>
    <x v="2"/>
    <x v="1"/>
    <n v="3"/>
    <n v="300"/>
    <x v="12"/>
    <n v="13.5"/>
  </r>
  <r>
    <n v="988"/>
    <x v="0"/>
    <x v="3"/>
    <n v="28"/>
    <s v="Sunday"/>
    <s v="May"/>
    <m/>
    <d v="2023-05-28T00:00:00"/>
    <s v="CUST988"/>
    <x v="1"/>
    <n v="18"/>
    <x v="2"/>
    <x v="1"/>
    <n v="3"/>
    <n v="25"/>
    <x v="8"/>
    <n v="1.125"/>
  </r>
  <r>
    <n v="989"/>
    <x v="0"/>
    <x v="6"/>
    <n v="28"/>
    <s v="Thursday"/>
    <s v="December"/>
    <m/>
    <d v="2023-12-28T00:00:00"/>
    <s v="CUST989"/>
    <x v="1"/>
    <n v="18"/>
    <x v="2"/>
    <x v="2"/>
    <n v="1"/>
    <n v="25"/>
    <x v="16"/>
    <n v="0.375"/>
  </r>
  <r>
    <n v="990"/>
    <x v="0"/>
    <x v="3"/>
    <n v="25"/>
    <s v="Thursday"/>
    <s v="May"/>
    <m/>
    <d v="2023-05-25T00:00:00"/>
    <s v="CUST990"/>
    <x v="1"/>
    <n v="18"/>
    <x v="2"/>
    <x v="0"/>
    <n v="2"/>
    <n v="500"/>
    <x v="1"/>
    <n v="15"/>
  </r>
  <r>
    <n v="991"/>
    <x v="0"/>
    <x v="6"/>
    <n v="26"/>
    <s v="Tuesday"/>
    <s v="December"/>
    <m/>
    <d v="2023-12-26T00:00:00"/>
    <s v="CUST991"/>
    <x v="1"/>
    <n v="18"/>
    <x v="2"/>
    <x v="1"/>
    <n v="2"/>
    <n v="50"/>
    <x v="4"/>
    <n v="1.5"/>
  </r>
  <r>
    <n v="992"/>
    <x v="0"/>
    <x v="8"/>
    <n v="21"/>
    <s v="Monday"/>
    <s v="August"/>
    <m/>
    <d v="2023-08-21T00:00:00"/>
    <s v="CUST992"/>
    <x v="1"/>
    <n v="18"/>
    <x v="2"/>
    <x v="2"/>
    <n v="2"/>
    <n v="30"/>
    <x v="17"/>
    <n v="0.89999999999999991"/>
  </r>
  <r>
    <n v="993"/>
    <x v="0"/>
    <x v="1"/>
    <n v="6"/>
    <s v="Monday"/>
    <s v="February"/>
    <m/>
    <d v="2023-02-06T00:00:00"/>
    <s v="CUST993"/>
    <x v="1"/>
    <n v="18"/>
    <x v="2"/>
    <x v="2"/>
    <n v="3"/>
    <n v="50"/>
    <x v="0"/>
    <n v="2.25"/>
  </r>
  <r>
    <n v="994"/>
    <x v="0"/>
    <x v="6"/>
    <n v="18"/>
    <s v="Monday"/>
    <s v="December"/>
    <m/>
    <d v="2023-12-18T00:00:00"/>
    <s v="CUST994"/>
    <x v="1"/>
    <n v="18"/>
    <x v="2"/>
    <x v="0"/>
    <n v="2"/>
    <n v="500"/>
    <x v="1"/>
    <n v="15"/>
  </r>
  <r>
    <n v="995"/>
    <x v="0"/>
    <x v="4"/>
    <n v="30"/>
    <s v="Sunday"/>
    <s v="April"/>
    <m/>
    <d v="2023-04-30T00:00:00"/>
    <s v="CUST995"/>
    <x v="1"/>
    <n v="18"/>
    <x v="2"/>
    <x v="1"/>
    <n v="1"/>
    <n v="30"/>
    <x v="2"/>
    <n v="0.44999999999999996"/>
  </r>
  <r>
    <n v="996"/>
    <x v="0"/>
    <x v="3"/>
    <n v="16"/>
    <s v="Tuesday"/>
    <s v="May"/>
    <m/>
    <d v="2023-05-16T00:00:00"/>
    <s v="CUST996"/>
    <x v="0"/>
    <n v="18"/>
    <x v="2"/>
    <x v="1"/>
    <n v="1"/>
    <n v="50"/>
    <x v="5"/>
    <n v="0.75"/>
  </r>
  <r>
    <n v="997"/>
    <x v="0"/>
    <x v="0"/>
    <n v="17"/>
    <s v="Friday"/>
    <s v="November"/>
    <m/>
    <d v="2023-11-17T00:00:00"/>
    <s v="CUST997"/>
    <x v="0"/>
    <n v="18"/>
    <x v="2"/>
    <x v="0"/>
    <n v="3"/>
    <n v="30"/>
    <x v="15"/>
    <n v="1.3499999999999999"/>
  </r>
  <r>
    <n v="998"/>
    <x v="0"/>
    <x v="7"/>
    <n v="29"/>
    <s v="Sunday"/>
    <s v="October"/>
    <m/>
    <d v="2023-10-29T00:00:00"/>
    <s v="CUST998"/>
    <x v="1"/>
    <n v="18"/>
    <x v="2"/>
    <x v="0"/>
    <n v="4"/>
    <n v="25"/>
    <x v="4"/>
    <n v="1.5"/>
  </r>
  <r>
    <n v="999"/>
    <x v="0"/>
    <x v="6"/>
    <n v="5"/>
    <s v="Tuesday"/>
    <s v="December"/>
    <m/>
    <d v="2023-12-05T00:00:00"/>
    <s v="CUST999"/>
    <x v="1"/>
    <n v="18"/>
    <x v="2"/>
    <x v="2"/>
    <n v="3"/>
    <n v="50"/>
    <x v="0"/>
    <n v="2.25"/>
  </r>
  <r>
    <n v="1000"/>
    <x v="0"/>
    <x v="4"/>
    <n v="12"/>
    <s v="Wednesday"/>
    <s v="April"/>
    <m/>
    <d v="2023-04-12T00:00:00"/>
    <s v="CUST1000"/>
    <x v="0"/>
    <n v="18"/>
    <x v="2"/>
    <x v="2"/>
    <n v="4"/>
    <n v="30"/>
    <x v="10"/>
    <n v="1.7999999999999998"/>
  </r>
  <r>
    <n v="211"/>
    <x v="1"/>
    <x v="2"/>
    <n v="1"/>
    <s v="Monday"/>
    <s v="January"/>
    <m/>
    <d v="2024-01-01T00:00:00"/>
    <s v="CUST211"/>
    <x v="0"/>
    <n v="55"/>
    <x v="0"/>
    <x v="0"/>
    <n v="3"/>
    <n v="500"/>
    <x v="9"/>
    <n v="22.5"/>
  </r>
  <r>
    <n v="650"/>
    <x v="1"/>
    <x v="2"/>
    <n v="1"/>
    <s v="Monday"/>
    <s v="January"/>
    <m/>
    <d v="2024-01-01T00:00:00"/>
    <s v="CUST650"/>
    <x v="0"/>
    <n v="34"/>
    <x v="1"/>
    <x v="2"/>
    <n v="1"/>
    <n v="30"/>
    <x v="2"/>
    <n v="0.44999999999999996"/>
  </r>
  <r>
    <m/>
    <x v="2"/>
    <x v="12"/>
    <m/>
    <m/>
    <s v="January"/>
    <m/>
    <m/>
    <m/>
    <x v="2"/>
    <m/>
    <x v="3"/>
    <x v="3"/>
    <m/>
    <m/>
    <x v="18"/>
    <m/>
  </r>
  <r>
    <m/>
    <x v="2"/>
    <x v="12"/>
    <m/>
    <m/>
    <s v="January"/>
    <m/>
    <m/>
    <m/>
    <x v="2"/>
    <m/>
    <x v="3"/>
    <x v="3"/>
    <m/>
    <m/>
    <x v="18"/>
    <m/>
  </r>
  <r>
    <m/>
    <x v="2"/>
    <x v="12"/>
    <m/>
    <m/>
    <s v="January"/>
    <m/>
    <m/>
    <m/>
    <x v="2"/>
    <m/>
    <x v="3"/>
    <x v="3"/>
    <m/>
    <m/>
    <x v="1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F6DCE-FAF4-4D69-981B-4D7423517DAB}" name="PivotTable1" cacheId="3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C16" firstHeaderRow="1" firstDataRow="1" firstDataCol="2"/>
  <pivotFields count="17">
    <pivotField compact="0" outline="0" showAll="0"/>
    <pivotField compact="0" outline="0" showAll="0">
      <items count="4">
        <item x="0"/>
        <item h="1" x="1"/>
        <item h="1" x="2"/>
        <item t="default"/>
      </items>
    </pivotField>
    <pivotField compact="0" outline="0" showAll="0">
      <items count="14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axis="axisRow" compact="0" outline="0" showAll="0">
      <items count="5">
        <item x="0"/>
        <item x="1"/>
        <item x="2"/>
        <item sd="0" x="3"/>
        <item t="default"/>
      </items>
    </pivotField>
    <pivotField compact="0" outline="0" showAll="0"/>
    <pivotField compact="0" outline="0" showAll="0"/>
    <pivotField dataField="1" compact="0" outline="0" showAll="0">
      <items count="20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x="18"/>
        <item t="default"/>
      </items>
    </pivotField>
    <pivotField compact="0" outline="0" showAll="0"/>
  </pivotFields>
  <rowFields count="2">
    <field x="12"/>
    <field x="11"/>
  </rowFields>
  <row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Sum of Total Sales" fld="15" baseField="0" baseItem="0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AF0510C8-51EF-4E88-BD57-2C55945D7391}" sourceName="Gender">
  <pivotTables>
    <pivotTable tabId="3" name="PivotTable1"/>
  </pivotTables>
  <data>
    <tabular pivotCacheId="1400302520">
      <items count="3">
        <i x="1" s="1"/>
        <i x="0" s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15188CBA-EF6B-4A9D-955E-162EF9469056}" sourceName="Generation">
  <pivotTables>
    <pivotTable tabId="3" name="PivotTable1"/>
  </pivotTables>
  <data>
    <tabular pivotCacheId="1400302520">
      <items count="4">
        <i x="1" s="1"/>
        <i x="0" s="1"/>
        <i x="2" s="1"/>
        <i x="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455CEF70-109E-4E08-82D4-6C71D673A4B0}" sourceName="Product Category">
  <pivotTables>
    <pivotTable tabId="3" name="PivotTable1"/>
  </pivotTables>
  <data>
    <tabular pivotCacheId="1400302520">
      <items count="4">
        <i x="0" s="1"/>
        <i x="1" s="1"/>
        <i x="2" s="1"/>
        <i x="3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8083BADC-23FA-49F3-8276-84B5FD05FEFF}" sourceName="Year">
  <pivotTables>
    <pivotTable tabId="3" name="PivotTable1"/>
  </pivotTables>
  <data>
    <tabular pivotCacheId="1400302520">
      <items count="3">
        <i x="0" s="1"/>
        <i x="1"/>
        <i x="2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050713DF-CCE8-4775-9366-EB3ACA7FE149}" sourceName="month">
  <pivotTables>
    <pivotTable tabId="3" name="PivotTable1"/>
  </pivotTables>
  <data>
    <tabular pivotCacheId="1400302520">
      <items count="13">
        <i x="2" s="1"/>
        <i x="1" s="1"/>
        <i x="5" s="1"/>
        <i x="4" s="1"/>
        <i x="3" s="1"/>
        <i x="10" s="1"/>
        <i x="11" s="1"/>
        <i x="8" s="1"/>
        <i x="9" s="1"/>
        <i x="7" s="1"/>
        <i x="0" s="1"/>
        <i x="6" s="1"/>
        <i x="1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3017E4F0-3171-4B3E-B24C-50AD777DBD47}" cache="Slicer_Gender" caption="Gender" rowHeight="228600"/>
  <slicer name="Generation" xr10:uid="{F1C3045C-2820-469C-B523-356F7479CFC0}" cache="Slicer_Generation" caption="Generation" rowHeight="228600"/>
  <slicer name="Product Category" xr10:uid="{F2C8B037-1A1F-4B49-B9BC-9E87502B2244}" cache="Slicer_Product_Category" caption="Product Category" rowHeight="228600"/>
  <slicer name="Year" xr10:uid="{F7A4586F-D895-4B3E-B418-C6715B836C92}" cache="Slicer_Year" caption="Year" rowHeight="228600"/>
  <slicer name="month" xr10:uid="{43389D51-C411-402E-8641-5630C34497E5}" cache="Slicer_month" caption="month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E04F-FFBC-493C-8BF8-EC14691778EF}">
  <dimension ref="A3:C16"/>
  <sheetViews>
    <sheetView workbookViewId="0">
      <selection activeCell="O3" sqref="O3"/>
    </sheetView>
  </sheetViews>
  <sheetFormatPr defaultRowHeight="15.75"/>
  <cols>
    <col min="1" max="1" width="18.375" bestFit="1" customWidth="1"/>
    <col min="2" max="2" width="13.25" bestFit="1" customWidth="1"/>
    <col min="3" max="4" width="16.25" bestFit="1" customWidth="1"/>
    <col min="5" max="6" width="10.75" bestFit="1" customWidth="1"/>
  </cols>
  <sheetData>
    <row r="3" spans="1:3">
      <c r="A3" s="23" t="s">
        <v>0</v>
      </c>
      <c r="B3" s="23" t="s">
        <v>1</v>
      </c>
      <c r="C3" t="s">
        <v>2</v>
      </c>
    </row>
    <row r="4" spans="1:3">
      <c r="A4" t="s">
        <v>3</v>
      </c>
      <c r="B4" t="s">
        <v>4</v>
      </c>
      <c r="C4" s="24">
        <v>62780</v>
      </c>
    </row>
    <row r="5" spans="1:3">
      <c r="B5" t="s">
        <v>5</v>
      </c>
      <c r="C5" s="24">
        <v>52060</v>
      </c>
    </row>
    <row r="6" spans="1:3">
      <c r="B6" t="s">
        <v>6</v>
      </c>
      <c r="C6" s="24">
        <v>27175</v>
      </c>
    </row>
    <row r="7" spans="1:3">
      <c r="A7" t="s">
        <v>7</v>
      </c>
      <c r="C7" s="24">
        <v>142015</v>
      </c>
    </row>
    <row r="8" spans="1:3">
      <c r="A8" t="s">
        <v>8</v>
      </c>
      <c r="B8" t="s">
        <v>4</v>
      </c>
      <c r="C8" s="24">
        <v>79440</v>
      </c>
    </row>
    <row r="9" spans="1:3">
      <c r="B9" t="s">
        <v>5</v>
      </c>
      <c r="C9" s="24">
        <v>50905</v>
      </c>
    </row>
    <row r="10" spans="1:3">
      <c r="B10" t="s">
        <v>6</v>
      </c>
      <c r="C10" s="24">
        <v>25235</v>
      </c>
    </row>
    <row r="11" spans="1:3">
      <c r="A11" t="s">
        <v>9</v>
      </c>
      <c r="C11" s="24">
        <v>155580</v>
      </c>
    </row>
    <row r="12" spans="1:3">
      <c r="A12" t="s">
        <v>10</v>
      </c>
      <c r="B12" t="s">
        <v>4</v>
      </c>
      <c r="C12" s="24">
        <v>64350</v>
      </c>
    </row>
    <row r="13" spans="1:3">
      <c r="B13" t="s">
        <v>5</v>
      </c>
      <c r="C13" s="24">
        <v>56535</v>
      </c>
    </row>
    <row r="14" spans="1:3">
      <c r="B14" t="s">
        <v>6</v>
      </c>
      <c r="C14" s="24">
        <v>35990</v>
      </c>
    </row>
    <row r="15" spans="1:3">
      <c r="A15" t="s">
        <v>11</v>
      </c>
      <c r="C15" s="24">
        <v>156875</v>
      </c>
    </row>
    <row r="16" spans="1:3">
      <c r="A16" t="s">
        <v>12</v>
      </c>
      <c r="C16" s="24">
        <v>454470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4"/>
  <sheetViews>
    <sheetView zoomScaleNormal="100" workbookViewId="0">
      <selection activeCell="D9" sqref="D9"/>
    </sheetView>
  </sheetViews>
  <sheetFormatPr defaultColWidth="11.25" defaultRowHeight="15.75"/>
  <cols>
    <col min="1" max="7" width="14.75" customWidth="1"/>
    <col min="8" max="8" width="10.5" bestFit="1" customWidth="1"/>
    <col min="9" max="9" width="13" customWidth="1"/>
    <col min="13" max="13" width="17.125" customWidth="1"/>
    <col min="15" max="15" width="14.125" customWidth="1"/>
    <col min="17" max="17" width="15.5" bestFit="1" customWidth="1"/>
    <col min="20" max="20" width="19.375" bestFit="1" customWidth="1"/>
    <col min="24" max="24" width="20.25" bestFit="1" customWidth="1"/>
  </cols>
  <sheetData>
    <row r="1" spans="1:25">
      <c r="A1" s="10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15</v>
      </c>
      <c r="G1" s="11"/>
      <c r="H1" s="11" t="s">
        <v>18</v>
      </c>
      <c r="I1" s="11" t="s">
        <v>19</v>
      </c>
      <c r="J1" s="11" t="s">
        <v>20</v>
      </c>
      <c r="K1" s="11" t="s">
        <v>21</v>
      </c>
      <c r="L1" s="11" t="s">
        <v>1</v>
      </c>
      <c r="M1" s="11" t="s">
        <v>0</v>
      </c>
      <c r="N1" s="11" t="s">
        <v>22</v>
      </c>
      <c r="O1" s="12" t="s">
        <v>23</v>
      </c>
      <c r="P1" t="s">
        <v>24</v>
      </c>
      <c r="Q1" t="s">
        <v>25</v>
      </c>
    </row>
    <row r="2" spans="1:25">
      <c r="A2" s="2">
        <v>1</v>
      </c>
      <c r="B2" s="4">
        <f>YEAR(H2)</f>
        <v>2023</v>
      </c>
      <c r="C2" s="4">
        <f>MONTH(H2)</f>
        <v>11</v>
      </c>
      <c r="D2" s="4">
        <f>DAY(H2)</f>
        <v>24</v>
      </c>
      <c r="E2" s="4" t="str">
        <f>TEXT(H2,"dddd")</f>
        <v>Friday</v>
      </c>
      <c r="F2" s="4" t="str">
        <f>TEXT(H2,"mmmm")</f>
        <v>November</v>
      </c>
      <c r="G2" s="4" t="str">
        <f>IF(OR(MONTH(H2)=11,MONTH(H2)=12),"show","")</f>
        <v>show</v>
      </c>
      <c r="H2" s="3">
        <v>45254</v>
      </c>
      <c r="I2" s="4" t="s">
        <v>26</v>
      </c>
      <c r="J2" s="4" t="s">
        <v>27</v>
      </c>
      <c r="K2" s="4">
        <v>64</v>
      </c>
      <c r="L2" s="4" t="str" cm="1">
        <f t="array" ref="L2">_xlfn.IFS(K2&gt;=50, "Senior", K2&gt;=30, "Adult", K2&lt;30, "Young Adult")</f>
        <v>Senior</v>
      </c>
      <c r="M2" s="4" t="s">
        <v>3</v>
      </c>
      <c r="N2" s="4">
        <v>3</v>
      </c>
      <c r="O2" s="5">
        <v>50</v>
      </c>
      <c r="P2">
        <f>N2*O2</f>
        <v>150</v>
      </c>
      <c r="Q2">
        <f>(P2*$U$4)</f>
        <v>2.25</v>
      </c>
    </row>
    <row r="3" spans="1:25">
      <c r="A3" s="2">
        <v>2</v>
      </c>
      <c r="B3" s="4">
        <f>YEAR(H3)</f>
        <v>2023</v>
      </c>
      <c r="C3" s="4">
        <f>MONTH(H3)</f>
        <v>2</v>
      </c>
      <c r="D3" s="4">
        <f>DAY(H3)</f>
        <v>27</v>
      </c>
      <c r="E3" s="4" t="str">
        <f>TEXT(H3,"dddd")</f>
        <v>Monday</v>
      </c>
      <c r="F3" s="4" t="str">
        <f t="shared" ref="F3:F66" si="0">TEXT(H3,"mmmm")</f>
        <v>February</v>
      </c>
      <c r="G3" s="4"/>
      <c r="H3" s="3">
        <v>44984</v>
      </c>
      <c r="I3" s="4" t="s">
        <v>28</v>
      </c>
      <c r="J3" s="4" t="s">
        <v>29</v>
      </c>
      <c r="K3" s="4">
        <v>64</v>
      </c>
      <c r="L3" s="4" t="str" cm="1">
        <f t="array" ref="L3">_xlfn.IFS(K3&gt;=50, "Senior", K3&gt;=30, "Adult", K3&lt;30, "Young Adult")</f>
        <v>Senior</v>
      </c>
      <c r="M3" s="4" t="s">
        <v>8</v>
      </c>
      <c r="N3" s="4">
        <v>2</v>
      </c>
      <c r="O3" s="5">
        <v>500</v>
      </c>
      <c r="P3">
        <f>N3*O3</f>
        <v>1000</v>
      </c>
      <c r="Q3">
        <f>(P3*$U$4)</f>
        <v>15</v>
      </c>
      <c r="T3" s="13" t="s">
        <v>30</v>
      </c>
      <c r="U3" s="14" t="s">
        <v>31</v>
      </c>
      <c r="V3" s="19"/>
      <c r="W3" s="19"/>
    </row>
    <row r="4" spans="1:25">
      <c r="A4" s="2">
        <v>3</v>
      </c>
      <c r="B4" s="4">
        <f>YEAR(H4)</f>
        <v>2023</v>
      </c>
      <c r="C4" s="4">
        <f>MONTH(H4)</f>
        <v>1</v>
      </c>
      <c r="D4" s="4">
        <f>DAY(H4)</f>
        <v>13</v>
      </c>
      <c r="E4" s="4" t="str">
        <f>TEXT(H4,"dddd")</f>
        <v>Friday</v>
      </c>
      <c r="F4" s="4" t="str">
        <f t="shared" si="0"/>
        <v>January</v>
      </c>
      <c r="G4" s="4"/>
      <c r="H4" s="3">
        <v>44939</v>
      </c>
      <c r="I4" s="4" t="s">
        <v>32</v>
      </c>
      <c r="J4" s="4" t="s">
        <v>27</v>
      </c>
      <c r="K4" s="4">
        <v>64</v>
      </c>
      <c r="L4" s="4" t="str" cm="1">
        <f t="array" ref="L4">_xlfn.IFS(K4&gt;=50, "Senior", K4&gt;=30, "Adult", K4&lt;30, "Young Adult")</f>
        <v>Senior</v>
      </c>
      <c r="M4" s="4" t="s">
        <v>10</v>
      </c>
      <c r="N4" s="4">
        <v>1</v>
      </c>
      <c r="O4" s="5">
        <v>30</v>
      </c>
      <c r="P4">
        <f>N4*O4</f>
        <v>30</v>
      </c>
      <c r="Q4">
        <f>(P4*$U$4)</f>
        <v>0.44999999999999996</v>
      </c>
      <c r="T4" s="15" t="s">
        <v>33</v>
      </c>
      <c r="U4" s="16">
        <v>1.4999999999999999E-2</v>
      </c>
      <c r="V4" s="20"/>
      <c r="W4" s="20"/>
    </row>
    <row r="5" spans="1:25">
      <c r="A5" s="2">
        <v>4</v>
      </c>
      <c r="B5" s="4">
        <f>YEAR(H5)</f>
        <v>2023</v>
      </c>
      <c r="C5" s="4">
        <f>MONTH(H5)</f>
        <v>5</v>
      </c>
      <c r="D5" s="4">
        <f>DAY(H5)</f>
        <v>21</v>
      </c>
      <c r="E5" s="4" t="str">
        <f>TEXT(H5,"dddd")</f>
        <v>Sunday</v>
      </c>
      <c r="F5" s="4" t="str">
        <f t="shared" si="0"/>
        <v>May</v>
      </c>
      <c r="G5" s="4"/>
      <c r="H5" s="3">
        <v>45067</v>
      </c>
      <c r="I5" s="4" t="s">
        <v>34</v>
      </c>
      <c r="J5" s="4" t="s">
        <v>27</v>
      </c>
      <c r="K5" s="4">
        <v>64</v>
      </c>
      <c r="L5" s="4" t="str" cm="1">
        <f t="array" ref="L5">_xlfn.IFS(K5&gt;=50, "Senior", K5&gt;=30, "Adult", K5&lt;30, "Young Adult")</f>
        <v>Senior</v>
      </c>
      <c r="M5" s="4" t="s">
        <v>8</v>
      </c>
      <c r="N5" s="4">
        <v>1</v>
      </c>
      <c r="O5" s="5">
        <v>500</v>
      </c>
      <c r="P5">
        <f>N5*O5</f>
        <v>500</v>
      </c>
      <c r="Q5">
        <f>(P5*$U$4)</f>
        <v>7.5</v>
      </c>
      <c r="T5" s="15" t="s">
        <v>35</v>
      </c>
      <c r="U5" s="17">
        <v>0.02</v>
      </c>
      <c r="V5" s="21"/>
      <c r="W5" s="21"/>
    </row>
    <row r="6" spans="1:25">
      <c r="A6" s="2">
        <v>5</v>
      </c>
      <c r="B6" s="4">
        <f>YEAR(H6)</f>
        <v>2023</v>
      </c>
      <c r="C6" s="4">
        <f>MONTH(H6)</f>
        <v>5</v>
      </c>
      <c r="D6" s="4">
        <f>DAY(H6)</f>
        <v>6</v>
      </c>
      <c r="E6" s="4" t="str">
        <f>TEXT(H6,"dddd")</f>
        <v>Saturday</v>
      </c>
      <c r="F6" s="4" t="str">
        <f t="shared" si="0"/>
        <v>May</v>
      </c>
      <c r="G6" s="4"/>
      <c r="H6" s="3">
        <v>45052</v>
      </c>
      <c r="I6" s="4" t="s">
        <v>36</v>
      </c>
      <c r="J6" s="4" t="s">
        <v>27</v>
      </c>
      <c r="K6" s="4">
        <v>64</v>
      </c>
      <c r="L6" s="4" t="str" cm="1">
        <f t="array" ref="L6">_xlfn.IFS(K6&gt;=50, "Senior", K6&gt;=30, "Adult", K6&lt;30, "Young Adult")</f>
        <v>Senior</v>
      </c>
      <c r="M6" s="4" t="s">
        <v>3</v>
      </c>
      <c r="N6" s="4">
        <v>2</v>
      </c>
      <c r="O6" s="5">
        <v>50</v>
      </c>
      <c r="P6">
        <f>N6*O6</f>
        <v>100</v>
      </c>
      <c r="Q6">
        <f>(P6*$U$4)</f>
        <v>1.5</v>
      </c>
    </row>
    <row r="7" spans="1:25">
      <c r="A7" s="2">
        <v>6</v>
      </c>
      <c r="B7" s="4">
        <f>YEAR(H7)</f>
        <v>2023</v>
      </c>
      <c r="C7" s="4">
        <f>MONTH(H7)</f>
        <v>4</v>
      </c>
      <c r="D7" s="4">
        <f>DAY(H7)</f>
        <v>25</v>
      </c>
      <c r="E7" s="4" t="str">
        <f>TEXT(H7,"dddd")</f>
        <v>Tuesday</v>
      </c>
      <c r="F7" s="4" t="str">
        <f t="shared" si="0"/>
        <v>April</v>
      </c>
      <c r="G7" s="4"/>
      <c r="H7" s="3">
        <v>45041</v>
      </c>
      <c r="I7" s="4" t="s">
        <v>37</v>
      </c>
      <c r="J7" s="4" t="s">
        <v>29</v>
      </c>
      <c r="K7" s="4">
        <v>64</v>
      </c>
      <c r="L7" s="4" t="str" cm="1">
        <f t="array" ref="L7">_xlfn.IFS(K7&gt;=50, "Senior", K7&gt;=30, "Adult", K7&lt;30, "Young Adult")</f>
        <v>Senior</v>
      </c>
      <c r="M7" s="4" t="s">
        <v>3</v>
      </c>
      <c r="N7" s="4">
        <v>1</v>
      </c>
      <c r="O7" s="5">
        <v>30</v>
      </c>
      <c r="P7">
        <f>N7*O7</f>
        <v>30</v>
      </c>
      <c r="Q7">
        <f>(P7*$U$4)</f>
        <v>0.44999999999999996</v>
      </c>
    </row>
    <row r="8" spans="1:25">
      <c r="A8" s="2">
        <v>7</v>
      </c>
      <c r="B8" s="4">
        <f>YEAR(H8)</f>
        <v>2023</v>
      </c>
      <c r="C8" s="4">
        <f>MONTH(H8)</f>
        <v>3</v>
      </c>
      <c r="D8" s="4">
        <f>DAY(H8)</f>
        <v>13</v>
      </c>
      <c r="E8" s="4" t="str">
        <f>TEXT(H8,"dddd")</f>
        <v>Monday</v>
      </c>
      <c r="F8" s="4" t="str">
        <f t="shared" si="0"/>
        <v>March</v>
      </c>
      <c r="G8" s="4"/>
      <c r="H8" s="3">
        <v>44998</v>
      </c>
      <c r="I8" s="4" t="s">
        <v>38</v>
      </c>
      <c r="J8" s="4" t="s">
        <v>27</v>
      </c>
      <c r="K8" s="4">
        <v>64</v>
      </c>
      <c r="L8" s="4" t="str" cm="1">
        <f t="array" ref="L8">_xlfn.IFS(K8&gt;=50, "Senior", K8&gt;=30, "Adult", K8&lt;30, "Young Adult")</f>
        <v>Senior</v>
      </c>
      <c r="M8" s="4" t="s">
        <v>8</v>
      </c>
      <c r="N8" s="4">
        <v>2</v>
      </c>
      <c r="O8" s="5">
        <v>25</v>
      </c>
      <c r="P8">
        <f>N8*O8</f>
        <v>50</v>
      </c>
      <c r="Q8">
        <f>(P8*$U$4)</f>
        <v>0.75</v>
      </c>
    </row>
    <row r="9" spans="1:25">
      <c r="A9" s="2">
        <v>8</v>
      </c>
      <c r="B9" s="4">
        <f>YEAR(H9)</f>
        <v>2023</v>
      </c>
      <c r="C9" s="4">
        <f>MONTH(H9)</f>
        <v>2</v>
      </c>
      <c r="D9" s="4">
        <f>DAY(H9)</f>
        <v>22</v>
      </c>
      <c r="E9" s="4" t="str">
        <f>TEXT(H9,"dddd")</f>
        <v>Wednesday</v>
      </c>
      <c r="F9" s="4" t="str">
        <f t="shared" si="0"/>
        <v>February</v>
      </c>
      <c r="G9" s="4"/>
      <c r="H9" s="3">
        <v>44979</v>
      </c>
      <c r="I9" s="4" t="s">
        <v>39</v>
      </c>
      <c r="J9" s="4" t="s">
        <v>27</v>
      </c>
      <c r="K9" s="4">
        <v>64</v>
      </c>
      <c r="L9" s="4" t="str" cm="1">
        <f t="array" ref="L9">_xlfn.IFS(K9&gt;=50, "Senior", K9&gt;=30, "Adult", K9&lt;30, "Young Adult")</f>
        <v>Senior</v>
      </c>
      <c r="M9" s="4" t="s">
        <v>10</v>
      </c>
      <c r="N9" s="4">
        <v>4</v>
      </c>
      <c r="O9" s="5">
        <v>25</v>
      </c>
      <c r="P9">
        <f>N9*O9</f>
        <v>100</v>
      </c>
      <c r="Q9">
        <f>(P9*$U$4)</f>
        <v>1.5</v>
      </c>
    </row>
    <row r="10" spans="1:25">
      <c r="A10" s="2">
        <v>9</v>
      </c>
      <c r="B10" s="4">
        <f>YEAR(H10)</f>
        <v>2023</v>
      </c>
      <c r="C10" s="4">
        <f>MONTH(H10)</f>
        <v>12</v>
      </c>
      <c r="D10" s="4">
        <f>DAY(H10)</f>
        <v>13</v>
      </c>
      <c r="E10" s="4" t="str">
        <f>TEXT(H10,"dddd")</f>
        <v>Wednesday</v>
      </c>
      <c r="F10" s="4" t="str">
        <f t="shared" si="0"/>
        <v>December</v>
      </c>
      <c r="G10" s="4"/>
      <c r="H10" s="3">
        <v>45273</v>
      </c>
      <c r="I10" s="4" t="s">
        <v>40</v>
      </c>
      <c r="J10" s="4" t="s">
        <v>27</v>
      </c>
      <c r="K10" s="4">
        <v>64</v>
      </c>
      <c r="L10" s="4" t="str" cm="1">
        <f t="array" ref="L10">_xlfn.IFS(K10&gt;=50, "Senior", K10&gt;=30, "Adult", K10&lt;30, "Young Adult")</f>
        <v>Senior</v>
      </c>
      <c r="M10" s="4" t="s">
        <v>10</v>
      </c>
      <c r="N10" s="4">
        <v>2</v>
      </c>
      <c r="O10" s="5">
        <v>300</v>
      </c>
      <c r="P10">
        <f>N10*O10</f>
        <v>600</v>
      </c>
      <c r="Q10">
        <f>(P10*$U$4)</f>
        <v>9</v>
      </c>
      <c r="U10" t="s">
        <v>24</v>
      </c>
      <c r="X10" t="s">
        <v>41</v>
      </c>
      <c r="Y10">
        <f>SUM(Q2:Q1000)</f>
        <v>6839.5500000000011</v>
      </c>
    </row>
    <row r="11" spans="1:25">
      <c r="A11" s="2">
        <v>10</v>
      </c>
      <c r="B11" s="4">
        <f>YEAR(H11)</f>
        <v>2023</v>
      </c>
      <c r="C11" s="4">
        <f>MONTH(H11)</f>
        <v>10</v>
      </c>
      <c r="D11" s="4">
        <f>DAY(H11)</f>
        <v>7</v>
      </c>
      <c r="E11" s="4" t="str">
        <f>TEXT(H11,"dddd")</f>
        <v>Saturday</v>
      </c>
      <c r="F11" s="4" t="str">
        <f t="shared" si="0"/>
        <v>October</v>
      </c>
      <c r="G11" s="4"/>
      <c r="H11" s="3">
        <v>45206</v>
      </c>
      <c r="I11" s="4" t="s">
        <v>42</v>
      </c>
      <c r="J11" s="4" t="s">
        <v>29</v>
      </c>
      <c r="K11" s="4">
        <v>64</v>
      </c>
      <c r="L11" s="4" t="str" cm="1">
        <f t="array" ref="L11">_xlfn.IFS(K11&gt;=50, "Senior", K11&gt;=30, "Adult", K11&lt;30, "Young Adult")</f>
        <v>Senior</v>
      </c>
      <c r="M11" s="4" t="s">
        <v>8</v>
      </c>
      <c r="N11" s="4">
        <v>4</v>
      </c>
      <c r="O11" s="5">
        <v>50</v>
      </c>
      <c r="P11">
        <f>N11*O11</f>
        <v>200</v>
      </c>
      <c r="Q11">
        <f>(P11*$U$4)</f>
        <v>3</v>
      </c>
      <c r="T11" t="s">
        <v>43</v>
      </c>
      <c r="U11">
        <f>SUM(P:P)</f>
        <v>456000</v>
      </c>
    </row>
    <row r="12" spans="1:25">
      <c r="A12" s="2">
        <v>11</v>
      </c>
      <c r="B12" s="4">
        <f>YEAR(H12)</f>
        <v>2023</v>
      </c>
      <c r="C12" s="4">
        <f>MONTH(H12)</f>
        <v>2</v>
      </c>
      <c r="D12" s="4">
        <f>DAY(H12)</f>
        <v>14</v>
      </c>
      <c r="E12" s="4" t="str">
        <f>TEXT(H12,"dddd")</f>
        <v>Tuesday</v>
      </c>
      <c r="F12" s="4" t="str">
        <f t="shared" si="0"/>
        <v>February</v>
      </c>
      <c r="G12" s="4"/>
      <c r="H12" s="3">
        <v>44971</v>
      </c>
      <c r="I12" s="4" t="s">
        <v>44</v>
      </c>
      <c r="J12" s="4" t="s">
        <v>27</v>
      </c>
      <c r="K12" s="4">
        <v>64</v>
      </c>
      <c r="L12" s="4" t="str" cm="1">
        <f t="array" ref="L12">_xlfn.IFS(K12&gt;=50, "Senior", K12&gt;=30, "Adult", K12&lt;30, "Young Adult")</f>
        <v>Senior</v>
      </c>
      <c r="M12" s="4" t="s">
        <v>8</v>
      </c>
      <c r="N12" s="4">
        <v>2</v>
      </c>
      <c r="O12" s="5">
        <v>50</v>
      </c>
      <c r="P12">
        <f>N12*O12</f>
        <v>100</v>
      </c>
      <c r="Q12">
        <f>(P12*$U$4)</f>
        <v>1.5</v>
      </c>
    </row>
    <row r="13" spans="1:25">
      <c r="A13" s="2">
        <v>12</v>
      </c>
      <c r="B13" s="4">
        <f>YEAR(H13)</f>
        <v>2023</v>
      </c>
      <c r="C13" s="4">
        <f>MONTH(H13)</f>
        <v>10</v>
      </c>
      <c r="D13" s="4">
        <f>DAY(H13)</f>
        <v>30</v>
      </c>
      <c r="E13" s="4" t="str">
        <f>TEXT(H13,"dddd")</f>
        <v>Monday</v>
      </c>
      <c r="F13" s="4" t="str">
        <f t="shared" si="0"/>
        <v>October</v>
      </c>
      <c r="G13" s="4"/>
      <c r="H13" s="3">
        <v>45229</v>
      </c>
      <c r="I13" s="4" t="s">
        <v>45</v>
      </c>
      <c r="J13" s="4" t="s">
        <v>27</v>
      </c>
      <c r="K13" s="4">
        <v>64</v>
      </c>
      <c r="L13" s="4" t="str" cm="1">
        <f t="array" ref="L13">_xlfn.IFS(K13&gt;=50, "Senior", K13&gt;=30, "Adult", K13&lt;30, "Young Adult")</f>
        <v>Senior</v>
      </c>
      <c r="M13" s="4" t="s">
        <v>3</v>
      </c>
      <c r="N13" s="4">
        <v>3</v>
      </c>
      <c r="O13" s="5">
        <v>25</v>
      </c>
      <c r="P13">
        <f>N13*O13</f>
        <v>75</v>
      </c>
      <c r="Q13">
        <f>(P13*$U$4)</f>
        <v>1.125</v>
      </c>
      <c r="U13" t="s">
        <v>24</v>
      </c>
      <c r="V13" t="s">
        <v>46</v>
      </c>
      <c r="X13" t="s">
        <v>47</v>
      </c>
      <c r="Y13" s="18">
        <f>AVERAGE(Q2:Q1000)</f>
        <v>6.8463963963963979</v>
      </c>
    </row>
    <row r="14" spans="1:25">
      <c r="A14" s="2">
        <v>13</v>
      </c>
      <c r="B14" s="4">
        <f>YEAR(H14)</f>
        <v>2023</v>
      </c>
      <c r="C14" s="4">
        <f>MONTH(H14)</f>
        <v>8</v>
      </c>
      <c r="D14" s="4">
        <f>DAY(H14)</f>
        <v>5</v>
      </c>
      <c r="E14" s="4" t="str">
        <f>TEXT(H14,"dddd")</f>
        <v>Saturday</v>
      </c>
      <c r="F14" s="4" t="str">
        <f t="shared" si="0"/>
        <v>August</v>
      </c>
      <c r="G14" s="4"/>
      <c r="H14" s="3">
        <v>45143</v>
      </c>
      <c r="I14" s="4" t="s">
        <v>48</v>
      </c>
      <c r="J14" s="4" t="s">
        <v>27</v>
      </c>
      <c r="K14" s="4">
        <v>64</v>
      </c>
      <c r="L14" s="4" t="str" cm="1">
        <f t="array" ref="L14">_xlfn.IFS(K14&gt;=50, "Senior", K14&gt;=30, "Adult", K14&lt;30, "Young Adult")</f>
        <v>Senior</v>
      </c>
      <c r="M14" s="4" t="s">
        <v>10</v>
      </c>
      <c r="N14" s="4">
        <v>3</v>
      </c>
      <c r="O14" s="5">
        <v>500</v>
      </c>
      <c r="P14">
        <f>N14*O14</f>
        <v>1500</v>
      </c>
      <c r="Q14">
        <f>(P14*$U$4)</f>
        <v>22.5</v>
      </c>
      <c r="T14" t="str" cm="1">
        <f t="array" ref="T14:T17">_xlfn.UNIQUE(M1:M1001)</f>
        <v>Product Category</v>
      </c>
      <c r="V14">
        <f>AVERAGE(P:P)</f>
        <v>456</v>
      </c>
      <c r="Y14" s="18"/>
    </row>
    <row r="15" spans="1:25">
      <c r="A15" s="2">
        <v>14</v>
      </c>
      <c r="B15" s="4">
        <f>YEAR(H15)</f>
        <v>2023</v>
      </c>
      <c r="C15" s="4">
        <f>MONTH(H15)</f>
        <v>1</v>
      </c>
      <c r="D15" s="4">
        <f>DAY(H15)</f>
        <v>17</v>
      </c>
      <c r="E15" s="4" t="str">
        <f>TEXT(H15,"dddd")</f>
        <v>Tuesday</v>
      </c>
      <c r="F15" s="4" t="str">
        <f t="shared" si="0"/>
        <v>January</v>
      </c>
      <c r="G15" s="4"/>
      <c r="H15" s="3">
        <v>44943</v>
      </c>
      <c r="I15" s="4" t="s">
        <v>49</v>
      </c>
      <c r="J15" s="4" t="s">
        <v>27</v>
      </c>
      <c r="K15" s="4">
        <v>64</v>
      </c>
      <c r="L15" s="4" t="str" cm="1">
        <f t="array" ref="L15">_xlfn.IFS(K15&gt;=50, "Senior", K15&gt;=30, "Adult", K15&lt;30, "Young Adult")</f>
        <v>Senior</v>
      </c>
      <c r="M15" s="4" t="s">
        <v>8</v>
      </c>
      <c r="N15" s="4">
        <v>4</v>
      </c>
      <c r="O15" s="5">
        <v>30</v>
      </c>
      <c r="P15">
        <f>N15*O15</f>
        <v>120</v>
      </c>
      <c r="Q15">
        <f>(P15*$U$4)</f>
        <v>1.7999999999999998</v>
      </c>
      <c r="T15" t="str">
        <v>Beauty</v>
      </c>
      <c r="U15">
        <f>SUMIF(M:M, "beauty", P:P)</f>
        <v>143515</v>
      </c>
      <c r="W15" s="22">
        <f>AVERAGEIF($M:$M, T15, $P:$P)</f>
        <v>467.47557003257327</v>
      </c>
    </row>
    <row r="16" spans="1:25">
      <c r="A16" s="2">
        <v>15</v>
      </c>
      <c r="B16" s="4">
        <f>YEAR(H16)</f>
        <v>2023</v>
      </c>
      <c r="C16" s="4">
        <f>MONTH(H16)</f>
        <v>1</v>
      </c>
      <c r="D16" s="4">
        <f>DAY(H16)</f>
        <v>16</v>
      </c>
      <c r="E16" s="4" t="str">
        <f>TEXT(H16,"dddd")</f>
        <v>Monday</v>
      </c>
      <c r="F16" s="4" t="str">
        <f t="shared" si="0"/>
        <v>January</v>
      </c>
      <c r="G16" s="4"/>
      <c r="H16" s="3">
        <v>44942</v>
      </c>
      <c r="I16" s="4" t="s">
        <v>50</v>
      </c>
      <c r="J16" s="4" t="s">
        <v>29</v>
      </c>
      <c r="K16" s="4">
        <v>64</v>
      </c>
      <c r="L16" s="4" t="str" cm="1">
        <f t="array" ref="L16">_xlfn.IFS(K16&gt;=50, "Senior", K16&gt;=30, "Adult", K16&lt;30, "Young Adult")</f>
        <v>Senior</v>
      </c>
      <c r="M16" s="4" t="s">
        <v>10</v>
      </c>
      <c r="N16" s="4">
        <v>4</v>
      </c>
      <c r="O16" s="5">
        <v>500</v>
      </c>
      <c r="P16">
        <f>N16*O16</f>
        <v>2000</v>
      </c>
      <c r="Q16">
        <f>(P16*$U$4)</f>
        <v>30</v>
      </c>
      <c r="T16" t="str">
        <v>Clothing</v>
      </c>
      <c r="U16">
        <f>SUMIF(M:M, "Clothing", P:P)</f>
        <v>155580</v>
      </c>
      <c r="W16" s="22">
        <f t="shared" ref="W16:W17" si="1">AVERAGEIF($M:$M, T16, $P:$P)</f>
        <v>443.24786324786322</v>
      </c>
    </row>
    <row r="17" spans="1:24">
      <c r="A17" s="2">
        <v>16</v>
      </c>
      <c r="B17" s="4">
        <f>YEAR(H17)</f>
        <v>2023</v>
      </c>
      <c r="C17" s="4">
        <f>MONTH(H17)</f>
        <v>2</v>
      </c>
      <c r="D17" s="4">
        <f>DAY(H17)</f>
        <v>17</v>
      </c>
      <c r="E17" s="4" t="str">
        <f>TEXT(H17,"dddd")</f>
        <v>Friday</v>
      </c>
      <c r="F17" s="4" t="str">
        <f t="shared" si="0"/>
        <v>February</v>
      </c>
      <c r="G17" s="4"/>
      <c r="H17" s="3">
        <v>44974</v>
      </c>
      <c r="I17" s="4" t="s">
        <v>51</v>
      </c>
      <c r="J17" s="4" t="s">
        <v>27</v>
      </c>
      <c r="K17" s="4">
        <v>64</v>
      </c>
      <c r="L17" s="4" t="str" cm="1">
        <f t="array" ref="L17">_xlfn.IFS(K17&gt;=50, "Senior", K17&gt;=30, "Adult", K17&lt;30, "Young Adult")</f>
        <v>Senior</v>
      </c>
      <c r="M17" s="4" t="s">
        <v>8</v>
      </c>
      <c r="N17" s="4">
        <v>3</v>
      </c>
      <c r="O17" s="5">
        <v>500</v>
      </c>
      <c r="P17">
        <f>N17*O17</f>
        <v>1500</v>
      </c>
      <c r="Q17">
        <f>(P17*$U$4)</f>
        <v>22.5</v>
      </c>
      <c r="T17" t="str">
        <v>Electronics</v>
      </c>
      <c r="U17">
        <f>SUMIF(M:M, "Electronics", P:P)</f>
        <v>156905</v>
      </c>
      <c r="W17" s="22">
        <f t="shared" si="1"/>
        <v>458.78654970760232</v>
      </c>
    </row>
    <row r="18" spans="1:24">
      <c r="A18" s="2">
        <v>17</v>
      </c>
      <c r="B18" s="4">
        <f>YEAR(H18)</f>
        <v>2023</v>
      </c>
      <c r="C18" s="4">
        <f>MONTH(H18)</f>
        <v>4</v>
      </c>
      <c r="D18" s="4">
        <f>DAY(H18)</f>
        <v>22</v>
      </c>
      <c r="E18" s="4" t="str">
        <f>TEXT(H18,"dddd")</f>
        <v>Saturday</v>
      </c>
      <c r="F18" s="4" t="str">
        <f t="shared" si="0"/>
        <v>April</v>
      </c>
      <c r="G18" s="4"/>
      <c r="H18" s="3">
        <v>45038</v>
      </c>
      <c r="I18" s="4" t="s">
        <v>52</v>
      </c>
      <c r="J18" s="4" t="s">
        <v>29</v>
      </c>
      <c r="K18" s="4">
        <v>64</v>
      </c>
      <c r="L18" s="4" t="str" cm="1">
        <f t="array" ref="L18">_xlfn.IFS(K18&gt;=50, "Senior", K18&gt;=30, "Adult", K18&lt;30, "Young Adult")</f>
        <v>Senior</v>
      </c>
      <c r="M18" s="4" t="s">
        <v>8</v>
      </c>
      <c r="N18" s="4">
        <v>4</v>
      </c>
      <c r="O18" s="5">
        <v>25</v>
      </c>
      <c r="P18">
        <f>N18*O18</f>
        <v>100</v>
      </c>
      <c r="Q18">
        <f>(P18*$U$4)</f>
        <v>1.5</v>
      </c>
    </row>
    <row r="19" spans="1:24">
      <c r="A19" s="2">
        <v>18</v>
      </c>
      <c r="B19" s="4">
        <f>YEAR(H19)</f>
        <v>2023</v>
      </c>
      <c r="C19" s="4">
        <f>MONTH(H19)</f>
        <v>4</v>
      </c>
      <c r="D19" s="4">
        <f>DAY(H19)</f>
        <v>30</v>
      </c>
      <c r="E19" s="4" t="str">
        <f>TEXT(H19,"dddd")</f>
        <v>Sunday</v>
      </c>
      <c r="F19" s="4" t="str">
        <f t="shared" si="0"/>
        <v>April</v>
      </c>
      <c r="G19" s="4"/>
      <c r="H19" s="3">
        <v>45046</v>
      </c>
      <c r="I19" s="4" t="s">
        <v>53</v>
      </c>
      <c r="J19" s="4" t="s">
        <v>29</v>
      </c>
      <c r="K19" s="4">
        <v>64</v>
      </c>
      <c r="L19" s="4" t="str" cm="1">
        <f t="array" ref="L19">_xlfn.IFS(K19&gt;=50, "Senior", K19&gt;=30, "Adult", K19&lt;30, "Young Adult")</f>
        <v>Senior</v>
      </c>
      <c r="M19" s="4" t="s">
        <v>10</v>
      </c>
      <c r="N19" s="4">
        <v>2</v>
      </c>
      <c r="O19" s="5">
        <v>25</v>
      </c>
      <c r="P19">
        <f>N19*O19</f>
        <v>50</v>
      </c>
      <c r="Q19">
        <f>(P19*$U$4)</f>
        <v>0.75</v>
      </c>
      <c r="V19" t="s">
        <v>29</v>
      </c>
      <c r="X19" t="s">
        <v>27</v>
      </c>
    </row>
    <row r="20" spans="1:24">
      <c r="A20" s="2">
        <v>19</v>
      </c>
      <c r="B20" s="4">
        <f>YEAR(H20)</f>
        <v>2023</v>
      </c>
      <c r="C20" s="4">
        <f>MONTH(H20)</f>
        <v>9</v>
      </c>
      <c r="D20" s="4">
        <f>DAY(H20)</f>
        <v>16</v>
      </c>
      <c r="E20" s="4" t="str">
        <f>TEXT(H20,"dddd")</f>
        <v>Saturday</v>
      </c>
      <c r="F20" s="4" t="str">
        <f t="shared" si="0"/>
        <v>September</v>
      </c>
      <c r="G20" s="4"/>
      <c r="H20" s="3">
        <v>45185</v>
      </c>
      <c r="I20" s="4" t="s">
        <v>54</v>
      </c>
      <c r="J20" s="4" t="s">
        <v>29</v>
      </c>
      <c r="K20" s="4">
        <v>64</v>
      </c>
      <c r="L20" s="4" t="str" cm="1">
        <f t="array" ref="L20">_xlfn.IFS(K20&gt;=50, "Senior", K20&gt;=30, "Adult", K20&lt;30, "Young Adult")</f>
        <v>Senior</v>
      </c>
      <c r="M20" s="4" t="s">
        <v>8</v>
      </c>
      <c r="N20" s="4">
        <v>2</v>
      </c>
      <c r="O20" s="5">
        <v>25</v>
      </c>
      <c r="P20">
        <f>N20*O20</f>
        <v>50</v>
      </c>
      <c r="Q20">
        <f>(P20*$U$4)</f>
        <v>0.75</v>
      </c>
      <c r="U20" t="s">
        <v>3</v>
      </c>
      <c r="V20">
        <f>SUMIFS(N:N, M:M, "Beauty", J:J, "Female")</f>
        <v>418</v>
      </c>
      <c r="X20">
        <f>SUMIFS(N:N, M:M, "Beauty", J:J, "male")</f>
        <v>353</v>
      </c>
    </row>
    <row r="21" spans="1:24">
      <c r="A21" s="2">
        <v>20</v>
      </c>
      <c r="B21" s="4">
        <f>YEAR(H21)</f>
        <v>2023</v>
      </c>
      <c r="C21" s="4">
        <f>MONTH(H21)</f>
        <v>11</v>
      </c>
      <c r="D21" s="4">
        <f>DAY(H21)</f>
        <v>5</v>
      </c>
      <c r="E21" s="4" t="str">
        <f>TEXT(H21,"dddd")</f>
        <v>Sunday</v>
      </c>
      <c r="F21" s="4" t="str">
        <f t="shared" si="0"/>
        <v>November</v>
      </c>
      <c r="G21" s="4"/>
      <c r="H21" s="3">
        <v>45235</v>
      </c>
      <c r="I21" s="4" t="s">
        <v>55</v>
      </c>
      <c r="J21" s="4" t="s">
        <v>27</v>
      </c>
      <c r="K21" s="4">
        <v>64</v>
      </c>
      <c r="L21" s="4" t="str" cm="1">
        <f t="array" ref="L21">_xlfn.IFS(K21&gt;=50, "Senior", K21&gt;=30, "Adult", K21&lt;30, "Young Adult")</f>
        <v>Senior</v>
      </c>
      <c r="M21" s="4" t="s">
        <v>8</v>
      </c>
      <c r="N21" s="4">
        <v>3</v>
      </c>
      <c r="O21" s="5">
        <v>300</v>
      </c>
      <c r="P21">
        <f>N21*O21</f>
        <v>900</v>
      </c>
      <c r="Q21">
        <f>(P21*$U$4)</f>
        <v>13.5</v>
      </c>
      <c r="U21" t="s">
        <v>8</v>
      </c>
      <c r="V21">
        <f>SUMIFS(N:N, M:M, "Clothing", J:J, "Female")</f>
        <v>441</v>
      </c>
      <c r="X21">
        <f>SUMIFS(N:N, M:M, "clothing", J:J, "male")</f>
        <v>453</v>
      </c>
    </row>
    <row r="22" spans="1:24">
      <c r="A22" s="2">
        <v>21</v>
      </c>
      <c r="B22" s="4">
        <f>YEAR(H22)</f>
        <v>2023</v>
      </c>
      <c r="C22" s="4">
        <f>MONTH(H22)</f>
        <v>1</v>
      </c>
      <c r="D22" s="4">
        <f>DAY(H22)</f>
        <v>14</v>
      </c>
      <c r="E22" s="4" t="str">
        <f>TEXT(H22,"dddd")</f>
        <v>Saturday</v>
      </c>
      <c r="F22" s="4" t="str">
        <f t="shared" si="0"/>
        <v>January</v>
      </c>
      <c r="G22" s="4"/>
      <c r="H22" s="3">
        <v>44940</v>
      </c>
      <c r="I22" s="4" t="s">
        <v>56</v>
      </c>
      <c r="J22" s="4" t="s">
        <v>29</v>
      </c>
      <c r="K22" s="4">
        <v>64</v>
      </c>
      <c r="L22" s="4" t="str" cm="1">
        <f t="array" ref="L22">_xlfn.IFS(K22&gt;=50, "Senior", K22&gt;=30, "Adult", K22&lt;30, "Young Adult")</f>
        <v>Senior</v>
      </c>
      <c r="M22" s="4" t="s">
        <v>3</v>
      </c>
      <c r="N22" s="4">
        <v>1</v>
      </c>
      <c r="O22" s="5">
        <v>500</v>
      </c>
      <c r="P22">
        <f>N22*O22</f>
        <v>500</v>
      </c>
      <c r="Q22">
        <f>(P22*$U$4)</f>
        <v>7.5</v>
      </c>
      <c r="U22" t="s">
        <v>10</v>
      </c>
      <c r="V22">
        <f>SUMIFS(N:N, M:M, "Electronics", J:J, "Female")</f>
        <v>439</v>
      </c>
      <c r="X22">
        <f>SUMIFS(N:N, M:M, "electronics", J:J, "male")</f>
        <v>410</v>
      </c>
    </row>
    <row r="23" spans="1:24">
      <c r="A23" s="2">
        <v>22</v>
      </c>
      <c r="B23" s="4">
        <f>YEAR(H23)</f>
        <v>2023</v>
      </c>
      <c r="C23" s="4">
        <f>MONTH(H23)</f>
        <v>10</v>
      </c>
      <c r="D23" s="4">
        <f>DAY(H23)</f>
        <v>15</v>
      </c>
      <c r="E23" s="4" t="str">
        <f>TEXT(H23,"dddd")</f>
        <v>Sunday</v>
      </c>
      <c r="F23" s="4" t="str">
        <f t="shared" si="0"/>
        <v>October</v>
      </c>
      <c r="G23" s="4"/>
      <c r="H23" s="3">
        <v>45214</v>
      </c>
      <c r="I23" s="4" t="s">
        <v>57</v>
      </c>
      <c r="J23" s="4" t="s">
        <v>27</v>
      </c>
      <c r="K23" s="4">
        <v>64</v>
      </c>
      <c r="L23" s="4" t="str" cm="1">
        <f t="array" ref="L23">_xlfn.IFS(K23&gt;=50, "Senior", K23&gt;=30, "Adult", K23&lt;30, "Young Adult")</f>
        <v>Senior</v>
      </c>
      <c r="M23" s="4" t="s">
        <v>8</v>
      </c>
      <c r="N23" s="4">
        <v>2</v>
      </c>
      <c r="O23" s="5">
        <v>50</v>
      </c>
      <c r="P23">
        <f>N23*O23</f>
        <v>100</v>
      </c>
      <c r="Q23">
        <f>(P23*$U$4)</f>
        <v>1.5</v>
      </c>
    </row>
    <row r="24" spans="1:24">
      <c r="A24" s="2">
        <v>23</v>
      </c>
      <c r="B24" s="4">
        <f>YEAR(H24)</f>
        <v>2023</v>
      </c>
      <c r="C24" s="4">
        <f>MONTH(H24)</f>
        <v>4</v>
      </c>
      <c r="D24" s="4">
        <f>DAY(H24)</f>
        <v>12</v>
      </c>
      <c r="E24" s="4" t="str">
        <f>TEXT(H24,"dddd")</f>
        <v>Wednesday</v>
      </c>
      <c r="F24" s="4" t="str">
        <f t="shared" si="0"/>
        <v>April</v>
      </c>
      <c r="G24" s="4"/>
      <c r="H24" s="3">
        <v>45028</v>
      </c>
      <c r="I24" s="4" t="s">
        <v>58</v>
      </c>
      <c r="J24" s="4" t="s">
        <v>29</v>
      </c>
      <c r="K24" s="4">
        <v>64</v>
      </c>
      <c r="L24" s="4" t="str" cm="1">
        <f t="array" ref="L24">_xlfn.IFS(K24&gt;=50, "Senior", K24&gt;=30, "Adult", K24&lt;30, "Young Adult")</f>
        <v>Senior</v>
      </c>
      <c r="M24" s="4" t="s">
        <v>8</v>
      </c>
      <c r="N24" s="4">
        <v>4</v>
      </c>
      <c r="O24" s="5">
        <v>30</v>
      </c>
      <c r="P24">
        <f>N24*O24</f>
        <v>120</v>
      </c>
      <c r="Q24">
        <f>(P24*$U$4)</f>
        <v>1.7999999999999998</v>
      </c>
    </row>
    <row r="25" spans="1:24">
      <c r="A25" s="2">
        <v>24</v>
      </c>
      <c r="B25" s="4">
        <f>YEAR(H25)</f>
        <v>2023</v>
      </c>
      <c r="C25" s="4">
        <f>MONTH(H25)</f>
        <v>11</v>
      </c>
      <c r="D25" s="4">
        <f>DAY(H25)</f>
        <v>29</v>
      </c>
      <c r="E25" s="4" t="str">
        <f>TEXT(H25,"dddd")</f>
        <v>Wednesday</v>
      </c>
      <c r="F25" s="4" t="str">
        <f t="shared" si="0"/>
        <v>November</v>
      </c>
      <c r="G25" s="4"/>
      <c r="H25" s="3">
        <v>45259</v>
      </c>
      <c r="I25" s="4" t="s">
        <v>59</v>
      </c>
      <c r="J25" s="4" t="s">
        <v>29</v>
      </c>
      <c r="K25" s="4">
        <v>64</v>
      </c>
      <c r="L25" s="4" t="str" cm="1">
        <f t="array" ref="L25">_xlfn.IFS(K25&gt;=50, "Senior", K25&gt;=30, "Adult", K25&lt;30, "Young Adult")</f>
        <v>Senior</v>
      </c>
      <c r="M25" s="4" t="s">
        <v>8</v>
      </c>
      <c r="N25" s="4">
        <v>1</v>
      </c>
      <c r="O25" s="5">
        <v>300</v>
      </c>
      <c r="P25">
        <f>N25*O25</f>
        <v>300</v>
      </c>
      <c r="Q25">
        <f>(P25*$U$4)</f>
        <v>4.5</v>
      </c>
    </row>
    <row r="26" spans="1:24">
      <c r="A26" s="2">
        <v>25</v>
      </c>
      <c r="B26" s="4">
        <f>YEAR(H26)</f>
        <v>2023</v>
      </c>
      <c r="C26" s="4">
        <f>MONTH(H26)</f>
        <v>12</v>
      </c>
      <c r="D26" s="4">
        <f>DAY(H26)</f>
        <v>26</v>
      </c>
      <c r="E26" s="4" t="str">
        <f>TEXT(H26,"dddd")</f>
        <v>Tuesday</v>
      </c>
      <c r="F26" s="4" t="str">
        <f t="shared" si="0"/>
        <v>December</v>
      </c>
      <c r="G26" s="4"/>
      <c r="H26" s="3">
        <v>45286</v>
      </c>
      <c r="I26" s="4" t="s">
        <v>60</v>
      </c>
      <c r="J26" s="4" t="s">
        <v>29</v>
      </c>
      <c r="K26" s="4">
        <v>64</v>
      </c>
      <c r="L26" s="4" t="str" cm="1">
        <f t="array" ref="L26">_xlfn.IFS(K26&gt;=50, "Senior", K26&gt;=30, "Adult", K26&lt;30, "Young Adult")</f>
        <v>Senior</v>
      </c>
      <c r="M26" s="4" t="s">
        <v>3</v>
      </c>
      <c r="N26" s="4">
        <v>1</v>
      </c>
      <c r="O26" s="5">
        <v>50</v>
      </c>
      <c r="P26">
        <f>N26*O26</f>
        <v>50</v>
      </c>
      <c r="Q26">
        <f>(P26*$U$4)</f>
        <v>0.75</v>
      </c>
    </row>
    <row r="27" spans="1:24">
      <c r="A27" s="2">
        <v>26</v>
      </c>
      <c r="B27" s="4">
        <f>YEAR(H27)</f>
        <v>2023</v>
      </c>
      <c r="C27" s="4">
        <f>MONTH(H27)</f>
        <v>10</v>
      </c>
      <c r="D27" s="4">
        <f>DAY(H27)</f>
        <v>7</v>
      </c>
      <c r="E27" s="4" t="str">
        <f>TEXT(H27,"dddd")</f>
        <v>Saturday</v>
      </c>
      <c r="F27" s="4" t="str">
        <f t="shared" si="0"/>
        <v>October</v>
      </c>
      <c r="G27" s="4"/>
      <c r="H27" s="3">
        <v>45206</v>
      </c>
      <c r="I27" s="4" t="s">
        <v>61</v>
      </c>
      <c r="J27" s="4" t="s">
        <v>29</v>
      </c>
      <c r="K27" s="4">
        <v>64</v>
      </c>
      <c r="L27" s="4" t="str" cm="1">
        <f t="array" ref="L27">_xlfn.IFS(K27&gt;=50, "Senior", K27&gt;=30, "Adult", K27&lt;30, "Young Adult")</f>
        <v>Senior</v>
      </c>
      <c r="M27" s="4" t="s">
        <v>10</v>
      </c>
      <c r="N27" s="4">
        <v>2</v>
      </c>
      <c r="O27" s="5">
        <v>500</v>
      </c>
      <c r="P27">
        <f>N27*O27</f>
        <v>1000</v>
      </c>
      <c r="Q27">
        <f>(P27*$U$4)</f>
        <v>15</v>
      </c>
    </row>
    <row r="28" spans="1:24">
      <c r="A28" s="2">
        <v>27</v>
      </c>
      <c r="B28" s="4">
        <f>YEAR(H28)</f>
        <v>2023</v>
      </c>
      <c r="C28" s="4">
        <f>MONTH(H28)</f>
        <v>8</v>
      </c>
      <c r="D28" s="4">
        <f>DAY(H28)</f>
        <v>3</v>
      </c>
      <c r="E28" s="4" t="str">
        <f>TEXT(H28,"dddd")</f>
        <v>Thursday</v>
      </c>
      <c r="F28" s="4" t="str">
        <f t="shared" si="0"/>
        <v>August</v>
      </c>
      <c r="G28" s="4"/>
      <c r="H28" s="3">
        <v>45141</v>
      </c>
      <c r="I28" s="4" t="s">
        <v>62</v>
      </c>
      <c r="J28" s="4" t="s">
        <v>29</v>
      </c>
      <c r="K28" s="4">
        <v>64</v>
      </c>
      <c r="L28" s="4" t="str" cm="1">
        <f t="array" ref="L28">_xlfn.IFS(K28&gt;=50, "Senior", K28&gt;=30, "Adult", K28&lt;30, "Young Adult")</f>
        <v>Senior</v>
      </c>
      <c r="M28" s="4" t="s">
        <v>3</v>
      </c>
      <c r="N28" s="4">
        <v>2</v>
      </c>
      <c r="O28" s="5">
        <v>25</v>
      </c>
      <c r="P28">
        <f>N28*O28</f>
        <v>50</v>
      </c>
      <c r="Q28">
        <f>(P28*$U$4)</f>
        <v>0.75</v>
      </c>
    </row>
    <row r="29" spans="1:24">
      <c r="A29" s="2">
        <v>28</v>
      </c>
      <c r="B29" s="4">
        <f>YEAR(H29)</f>
        <v>2023</v>
      </c>
      <c r="C29" s="4">
        <f>MONTH(H29)</f>
        <v>4</v>
      </c>
      <c r="D29" s="4">
        <f>DAY(H29)</f>
        <v>23</v>
      </c>
      <c r="E29" s="4" t="str">
        <f>TEXT(H29,"dddd")</f>
        <v>Sunday</v>
      </c>
      <c r="F29" s="4" t="str">
        <f t="shared" si="0"/>
        <v>April</v>
      </c>
      <c r="G29" s="4"/>
      <c r="H29" s="3">
        <v>45039</v>
      </c>
      <c r="I29" s="4" t="s">
        <v>63</v>
      </c>
      <c r="J29" s="4" t="s">
        <v>29</v>
      </c>
      <c r="K29" s="4">
        <v>64</v>
      </c>
      <c r="L29" s="4" t="str" cm="1">
        <f t="array" ref="L29">_xlfn.IFS(K29&gt;=50, "Senior", K29&gt;=30, "Adult", K29&lt;30, "Young Adult")</f>
        <v>Senior</v>
      </c>
      <c r="M29" s="4" t="s">
        <v>3</v>
      </c>
      <c r="N29" s="4">
        <v>1</v>
      </c>
      <c r="O29" s="5">
        <v>500</v>
      </c>
      <c r="P29">
        <f>N29*O29</f>
        <v>500</v>
      </c>
      <c r="Q29">
        <f>(P29*$U$4)</f>
        <v>7.5</v>
      </c>
    </row>
    <row r="30" spans="1:24">
      <c r="A30" s="2">
        <v>29</v>
      </c>
      <c r="B30" s="4">
        <f>YEAR(H30)</f>
        <v>2023</v>
      </c>
      <c r="C30" s="4">
        <f>MONTH(H30)</f>
        <v>8</v>
      </c>
      <c r="D30" s="4">
        <f>DAY(H30)</f>
        <v>18</v>
      </c>
      <c r="E30" s="4" t="str">
        <f>TEXT(H30,"dddd")</f>
        <v>Friday</v>
      </c>
      <c r="F30" s="4" t="str">
        <f t="shared" si="0"/>
        <v>August</v>
      </c>
      <c r="G30" s="4"/>
      <c r="H30" s="3">
        <v>45156</v>
      </c>
      <c r="I30" s="4" t="s">
        <v>64</v>
      </c>
      <c r="J30" s="4" t="s">
        <v>29</v>
      </c>
      <c r="K30" s="4">
        <v>64</v>
      </c>
      <c r="L30" s="4" t="str" cm="1">
        <f t="array" ref="L30">_xlfn.IFS(K30&gt;=50, "Senior", K30&gt;=30, "Adult", K30&lt;30, "Young Adult")</f>
        <v>Senior</v>
      </c>
      <c r="M30" s="4" t="s">
        <v>10</v>
      </c>
      <c r="N30" s="4">
        <v>1</v>
      </c>
      <c r="O30" s="5">
        <v>30</v>
      </c>
      <c r="P30">
        <f>N30*O30</f>
        <v>30</v>
      </c>
      <c r="Q30">
        <f>(P30*$U$4)</f>
        <v>0.44999999999999996</v>
      </c>
    </row>
    <row r="31" spans="1:24">
      <c r="A31" s="2">
        <v>30</v>
      </c>
      <c r="B31" s="4">
        <f>YEAR(H31)</f>
        <v>2023</v>
      </c>
      <c r="C31" s="4">
        <f>MONTH(H31)</f>
        <v>10</v>
      </c>
      <c r="D31" s="4">
        <f>DAY(H31)</f>
        <v>29</v>
      </c>
      <c r="E31" s="4" t="str">
        <f>TEXT(H31,"dddd")</f>
        <v>Sunday</v>
      </c>
      <c r="F31" s="4" t="str">
        <f t="shared" si="0"/>
        <v>October</v>
      </c>
      <c r="G31" s="4"/>
      <c r="H31" s="3">
        <v>45228</v>
      </c>
      <c r="I31" s="4" t="s">
        <v>65</v>
      </c>
      <c r="J31" s="4" t="s">
        <v>29</v>
      </c>
      <c r="K31" s="4">
        <v>64</v>
      </c>
      <c r="L31" s="4" t="str" cm="1">
        <f t="array" ref="L31">_xlfn.IFS(K31&gt;=50, "Senior", K31&gt;=30, "Adult", K31&lt;30, "Young Adult")</f>
        <v>Senior</v>
      </c>
      <c r="M31" s="4" t="s">
        <v>3</v>
      </c>
      <c r="N31" s="4">
        <v>3</v>
      </c>
      <c r="O31" s="5">
        <v>300</v>
      </c>
      <c r="P31">
        <f>N31*O31</f>
        <v>900</v>
      </c>
      <c r="Q31">
        <f>(P31*$U$4)</f>
        <v>13.5</v>
      </c>
    </row>
    <row r="32" spans="1:24">
      <c r="A32" s="2">
        <v>31</v>
      </c>
      <c r="B32" s="4">
        <f>YEAR(H32)</f>
        <v>2023</v>
      </c>
      <c r="C32" s="4">
        <f>MONTH(H32)</f>
        <v>5</v>
      </c>
      <c r="D32" s="4">
        <f>DAY(H32)</f>
        <v>23</v>
      </c>
      <c r="E32" s="4" t="str">
        <f>TEXT(H32,"dddd")</f>
        <v>Tuesday</v>
      </c>
      <c r="F32" s="4" t="str">
        <f t="shared" si="0"/>
        <v>May</v>
      </c>
      <c r="G32" s="4"/>
      <c r="H32" s="3">
        <v>45069</v>
      </c>
      <c r="I32" s="4" t="s">
        <v>66</v>
      </c>
      <c r="J32" s="4" t="s">
        <v>27</v>
      </c>
      <c r="K32" s="4">
        <v>64</v>
      </c>
      <c r="L32" s="4" t="str" cm="1">
        <f t="array" ref="L32">_xlfn.IFS(K32&gt;=50, "Senior", K32&gt;=30, "Adult", K32&lt;30, "Young Adult")</f>
        <v>Senior</v>
      </c>
      <c r="M32" s="4" t="s">
        <v>10</v>
      </c>
      <c r="N32" s="4">
        <v>4</v>
      </c>
      <c r="O32" s="5">
        <v>300</v>
      </c>
      <c r="P32">
        <f>N32*O32</f>
        <v>1200</v>
      </c>
      <c r="Q32">
        <f>(P32*$U$4)</f>
        <v>18</v>
      </c>
    </row>
    <row r="33" spans="1:17">
      <c r="A33" s="2">
        <v>32</v>
      </c>
      <c r="B33" s="4">
        <f>YEAR(H33)</f>
        <v>2023</v>
      </c>
      <c r="C33" s="4">
        <f>MONTH(H33)</f>
        <v>1</v>
      </c>
      <c r="D33" s="4">
        <f>DAY(H33)</f>
        <v>4</v>
      </c>
      <c r="E33" s="4" t="str">
        <f>TEXT(H33,"dddd")</f>
        <v>Wednesday</v>
      </c>
      <c r="F33" s="4" t="str">
        <f t="shared" si="0"/>
        <v>January</v>
      </c>
      <c r="G33" s="4"/>
      <c r="H33" s="3">
        <v>44930</v>
      </c>
      <c r="I33" s="4" t="s">
        <v>67</v>
      </c>
      <c r="J33" s="4" t="s">
        <v>27</v>
      </c>
      <c r="K33" s="4">
        <v>63</v>
      </c>
      <c r="L33" s="4" t="str" cm="1">
        <f t="array" ref="L33">_xlfn.IFS(K33&gt;=50, "Senior", K33&gt;=30, "Adult", K33&lt;30, "Young Adult")</f>
        <v>Senior</v>
      </c>
      <c r="M33" s="4" t="s">
        <v>3</v>
      </c>
      <c r="N33" s="4">
        <v>3</v>
      </c>
      <c r="O33" s="5">
        <v>30</v>
      </c>
      <c r="P33">
        <f>N33*O33</f>
        <v>90</v>
      </c>
      <c r="Q33">
        <f>(P33*$U$4)</f>
        <v>1.3499999999999999</v>
      </c>
    </row>
    <row r="34" spans="1:17">
      <c r="A34" s="2">
        <v>33</v>
      </c>
      <c r="B34" s="4">
        <f>YEAR(H34)</f>
        <v>2023</v>
      </c>
      <c r="C34" s="4">
        <f>MONTH(H34)</f>
        <v>3</v>
      </c>
      <c r="D34" s="4">
        <f>DAY(H34)</f>
        <v>23</v>
      </c>
      <c r="E34" s="4" t="str">
        <f>TEXT(H34,"dddd")</f>
        <v>Thursday</v>
      </c>
      <c r="F34" s="4" t="str">
        <f t="shared" si="0"/>
        <v>March</v>
      </c>
      <c r="G34" s="4"/>
      <c r="H34" s="3">
        <v>45008</v>
      </c>
      <c r="I34" s="4" t="s">
        <v>68</v>
      </c>
      <c r="J34" s="4" t="s">
        <v>29</v>
      </c>
      <c r="K34" s="4">
        <v>63</v>
      </c>
      <c r="L34" s="4" t="str" cm="1">
        <f t="array" ref="L34">_xlfn.IFS(K34&gt;=50, "Senior", K34&gt;=30, "Adult", K34&lt;30, "Young Adult")</f>
        <v>Senior</v>
      </c>
      <c r="M34" s="4" t="s">
        <v>10</v>
      </c>
      <c r="N34" s="4">
        <v>2</v>
      </c>
      <c r="O34" s="5">
        <v>50</v>
      </c>
      <c r="P34">
        <f>N34*O34</f>
        <v>100</v>
      </c>
      <c r="Q34">
        <f>(P34*$U$4)</f>
        <v>1.5</v>
      </c>
    </row>
    <row r="35" spans="1:17">
      <c r="A35" s="2">
        <v>34</v>
      </c>
      <c r="B35" s="4">
        <f>YEAR(H35)</f>
        <v>2023</v>
      </c>
      <c r="C35" s="4">
        <f>MONTH(H35)</f>
        <v>12</v>
      </c>
      <c r="D35" s="4">
        <f>DAY(H35)</f>
        <v>24</v>
      </c>
      <c r="E35" s="4" t="str">
        <f>TEXT(H35,"dddd")</f>
        <v>Sunday</v>
      </c>
      <c r="F35" s="4" t="str">
        <f t="shared" si="0"/>
        <v>December</v>
      </c>
      <c r="G35" s="4"/>
      <c r="H35" s="3">
        <v>45284</v>
      </c>
      <c r="I35" s="4" t="s">
        <v>69</v>
      </c>
      <c r="J35" s="4" t="s">
        <v>29</v>
      </c>
      <c r="K35" s="4">
        <v>63</v>
      </c>
      <c r="L35" s="4" t="str" cm="1">
        <f t="array" ref="L35">_xlfn.IFS(K35&gt;=50, "Senior", K35&gt;=30, "Adult", K35&lt;30, "Young Adult")</f>
        <v>Senior</v>
      </c>
      <c r="M35" s="4" t="s">
        <v>8</v>
      </c>
      <c r="N35" s="4">
        <v>3</v>
      </c>
      <c r="O35" s="5">
        <v>50</v>
      </c>
      <c r="P35">
        <f>N35*O35</f>
        <v>150</v>
      </c>
      <c r="Q35">
        <f>(P35*$U$4)</f>
        <v>2.25</v>
      </c>
    </row>
    <row r="36" spans="1:17">
      <c r="A36" s="2">
        <v>35</v>
      </c>
      <c r="B36" s="4">
        <f>YEAR(H36)</f>
        <v>2023</v>
      </c>
      <c r="C36" s="4">
        <f>MONTH(H36)</f>
        <v>8</v>
      </c>
      <c r="D36" s="4">
        <f>DAY(H36)</f>
        <v>5</v>
      </c>
      <c r="E36" s="4" t="str">
        <f>TEXT(H36,"dddd")</f>
        <v>Saturday</v>
      </c>
      <c r="F36" s="4" t="str">
        <f t="shared" si="0"/>
        <v>August</v>
      </c>
      <c r="G36" s="4"/>
      <c r="H36" s="3">
        <v>45143</v>
      </c>
      <c r="I36" s="4" t="s">
        <v>70</v>
      </c>
      <c r="J36" s="4" t="s">
        <v>29</v>
      </c>
      <c r="K36" s="4">
        <v>63</v>
      </c>
      <c r="L36" s="4" t="str" cm="1">
        <f t="array" ref="L36">_xlfn.IFS(K36&gt;=50, "Senior", K36&gt;=30, "Adult", K36&lt;30, "Young Adult")</f>
        <v>Senior</v>
      </c>
      <c r="M36" s="4" t="s">
        <v>3</v>
      </c>
      <c r="N36" s="4">
        <v>3</v>
      </c>
      <c r="O36" s="5">
        <v>300</v>
      </c>
      <c r="P36">
        <f>N36*O36</f>
        <v>900</v>
      </c>
      <c r="Q36">
        <f>(P36*$U$4)</f>
        <v>13.5</v>
      </c>
    </row>
    <row r="37" spans="1:17">
      <c r="A37" s="2">
        <v>36</v>
      </c>
      <c r="B37" s="4">
        <f>YEAR(H37)</f>
        <v>2023</v>
      </c>
      <c r="C37" s="4">
        <f>MONTH(H37)</f>
        <v>6</v>
      </c>
      <c r="D37" s="4">
        <f>DAY(H37)</f>
        <v>24</v>
      </c>
      <c r="E37" s="4" t="str">
        <f>TEXT(H37,"dddd")</f>
        <v>Saturday</v>
      </c>
      <c r="F37" s="4" t="str">
        <f t="shared" si="0"/>
        <v>June</v>
      </c>
      <c r="G37" s="4"/>
      <c r="H37" s="3">
        <v>45101</v>
      </c>
      <c r="I37" s="4" t="s">
        <v>71</v>
      </c>
      <c r="J37" s="4" t="s">
        <v>27</v>
      </c>
      <c r="K37" s="4">
        <v>63</v>
      </c>
      <c r="L37" s="4" t="str" cm="1">
        <f t="array" ref="L37">_xlfn.IFS(K37&gt;=50, "Senior", K37&gt;=30, "Adult", K37&lt;30, "Young Adult")</f>
        <v>Senior</v>
      </c>
      <c r="M37" s="4" t="s">
        <v>3</v>
      </c>
      <c r="N37" s="4">
        <v>3</v>
      </c>
      <c r="O37" s="5">
        <v>300</v>
      </c>
      <c r="P37">
        <f>N37*O37</f>
        <v>900</v>
      </c>
      <c r="Q37">
        <f>(P37*$U$4)</f>
        <v>13.5</v>
      </c>
    </row>
    <row r="38" spans="1:17">
      <c r="A38" s="2">
        <v>37</v>
      </c>
      <c r="B38" s="4">
        <f>YEAR(H38)</f>
        <v>2023</v>
      </c>
      <c r="C38" s="4">
        <f>MONTH(H38)</f>
        <v>5</v>
      </c>
      <c r="D38" s="4">
        <f>DAY(H38)</f>
        <v>23</v>
      </c>
      <c r="E38" s="4" t="str">
        <f>TEXT(H38,"dddd")</f>
        <v>Tuesday</v>
      </c>
      <c r="F38" s="4" t="str">
        <f t="shared" si="0"/>
        <v>May</v>
      </c>
      <c r="G38" s="4"/>
      <c r="H38" s="3">
        <v>45069</v>
      </c>
      <c r="I38" s="4" t="s">
        <v>72</v>
      </c>
      <c r="J38" s="4" t="s">
        <v>29</v>
      </c>
      <c r="K38" s="4">
        <v>63</v>
      </c>
      <c r="L38" s="4" t="str" cm="1">
        <f t="array" ref="L38">_xlfn.IFS(K38&gt;=50, "Senior", K38&gt;=30, "Adult", K38&lt;30, "Young Adult")</f>
        <v>Senior</v>
      </c>
      <c r="M38" s="4" t="s">
        <v>3</v>
      </c>
      <c r="N38" s="4">
        <v>3</v>
      </c>
      <c r="O38" s="5">
        <v>25</v>
      </c>
      <c r="P38">
        <f>N38*O38</f>
        <v>75</v>
      </c>
      <c r="Q38">
        <f>(P38*$U$4)</f>
        <v>1.125</v>
      </c>
    </row>
    <row r="39" spans="1:17">
      <c r="A39" s="2">
        <v>38</v>
      </c>
      <c r="B39" s="4">
        <f>YEAR(H39)</f>
        <v>2023</v>
      </c>
      <c r="C39" s="4">
        <f>MONTH(H39)</f>
        <v>3</v>
      </c>
      <c r="D39" s="4">
        <f>DAY(H39)</f>
        <v>21</v>
      </c>
      <c r="E39" s="4" t="str">
        <f>TEXT(H39,"dddd")</f>
        <v>Tuesday</v>
      </c>
      <c r="F39" s="4" t="str">
        <f t="shared" si="0"/>
        <v>March</v>
      </c>
      <c r="G39" s="4"/>
      <c r="H39" s="3">
        <v>45006</v>
      </c>
      <c r="I39" s="4" t="s">
        <v>73</v>
      </c>
      <c r="J39" s="4" t="s">
        <v>27</v>
      </c>
      <c r="K39" s="4">
        <v>63</v>
      </c>
      <c r="L39" s="4" t="str" cm="1">
        <f t="array" ref="L39">_xlfn.IFS(K39&gt;=50, "Senior", K39&gt;=30, "Adult", K39&lt;30, "Young Adult")</f>
        <v>Senior</v>
      </c>
      <c r="M39" s="4" t="s">
        <v>3</v>
      </c>
      <c r="N39" s="4">
        <v>4</v>
      </c>
      <c r="O39" s="5">
        <v>50</v>
      </c>
      <c r="P39">
        <f>N39*O39</f>
        <v>200</v>
      </c>
      <c r="Q39">
        <f>(P39*$U$4)</f>
        <v>3</v>
      </c>
    </row>
    <row r="40" spans="1:17">
      <c r="A40" s="2">
        <v>39</v>
      </c>
      <c r="B40" s="4">
        <f>YEAR(H40)</f>
        <v>2023</v>
      </c>
      <c r="C40" s="4">
        <f>MONTH(H40)</f>
        <v>4</v>
      </c>
      <c r="D40" s="4">
        <f>DAY(H40)</f>
        <v>21</v>
      </c>
      <c r="E40" s="4" t="str">
        <f>TEXT(H40,"dddd")</f>
        <v>Friday</v>
      </c>
      <c r="F40" s="4" t="str">
        <f t="shared" si="0"/>
        <v>April</v>
      </c>
      <c r="G40" s="4"/>
      <c r="H40" s="3">
        <v>45037</v>
      </c>
      <c r="I40" s="4" t="s">
        <v>74</v>
      </c>
      <c r="J40" s="4" t="s">
        <v>27</v>
      </c>
      <c r="K40" s="4">
        <v>63</v>
      </c>
      <c r="L40" s="4" t="str" cm="1">
        <f t="array" ref="L40">_xlfn.IFS(K40&gt;=50, "Senior", K40&gt;=30, "Adult", K40&lt;30, "Young Adult")</f>
        <v>Senior</v>
      </c>
      <c r="M40" s="4" t="s">
        <v>8</v>
      </c>
      <c r="N40" s="4">
        <v>4</v>
      </c>
      <c r="O40" s="5">
        <v>30</v>
      </c>
      <c r="P40">
        <f>N40*O40</f>
        <v>120</v>
      </c>
      <c r="Q40">
        <f>(P40*$U$4)</f>
        <v>1.7999999999999998</v>
      </c>
    </row>
    <row r="41" spans="1:17">
      <c r="A41" s="2">
        <v>40</v>
      </c>
      <c r="B41" s="4">
        <f>YEAR(H41)</f>
        <v>2023</v>
      </c>
      <c r="C41" s="4">
        <f>MONTH(H41)</f>
        <v>6</v>
      </c>
      <c r="D41" s="4">
        <f>DAY(H41)</f>
        <v>22</v>
      </c>
      <c r="E41" s="4" t="str">
        <f>TEXT(H41,"dddd")</f>
        <v>Thursday</v>
      </c>
      <c r="F41" s="4" t="str">
        <f t="shared" si="0"/>
        <v>June</v>
      </c>
      <c r="G41" s="4"/>
      <c r="H41" s="3">
        <v>45099</v>
      </c>
      <c r="I41" s="4" t="s">
        <v>75</v>
      </c>
      <c r="J41" s="4" t="s">
        <v>27</v>
      </c>
      <c r="K41" s="4">
        <v>63</v>
      </c>
      <c r="L41" s="4" t="str" cm="1">
        <f t="array" ref="L41">_xlfn.IFS(K41&gt;=50, "Senior", K41&gt;=30, "Adult", K41&lt;30, "Young Adult")</f>
        <v>Senior</v>
      </c>
      <c r="M41" s="4" t="s">
        <v>3</v>
      </c>
      <c r="N41" s="4">
        <v>1</v>
      </c>
      <c r="O41" s="5">
        <v>50</v>
      </c>
      <c r="P41">
        <f>N41*O41</f>
        <v>50</v>
      </c>
      <c r="Q41">
        <f>(P41*$U$4)</f>
        <v>0.75</v>
      </c>
    </row>
    <row r="42" spans="1:17">
      <c r="A42" s="2">
        <v>41</v>
      </c>
      <c r="B42" s="4">
        <f>YEAR(H42)</f>
        <v>2023</v>
      </c>
      <c r="C42" s="4">
        <f>MONTH(H42)</f>
        <v>2</v>
      </c>
      <c r="D42" s="4">
        <f>DAY(H42)</f>
        <v>22</v>
      </c>
      <c r="E42" s="4" t="str">
        <f>TEXT(H42,"dddd")</f>
        <v>Wednesday</v>
      </c>
      <c r="F42" s="4" t="str">
        <f t="shared" si="0"/>
        <v>February</v>
      </c>
      <c r="G42" s="4"/>
      <c r="H42" s="3">
        <v>44979</v>
      </c>
      <c r="I42" s="4" t="s">
        <v>76</v>
      </c>
      <c r="J42" s="4" t="s">
        <v>27</v>
      </c>
      <c r="K42" s="4">
        <v>63</v>
      </c>
      <c r="L42" s="4" t="str" cm="1">
        <f t="array" ref="L42">_xlfn.IFS(K42&gt;=50, "Senior", K42&gt;=30, "Adult", K42&lt;30, "Young Adult")</f>
        <v>Senior</v>
      </c>
      <c r="M42" s="4" t="s">
        <v>8</v>
      </c>
      <c r="N42" s="4">
        <v>2</v>
      </c>
      <c r="O42" s="5">
        <v>25</v>
      </c>
      <c r="P42">
        <f>N42*O42</f>
        <v>50</v>
      </c>
      <c r="Q42">
        <f>(P42*$U$4)</f>
        <v>0.75</v>
      </c>
    </row>
    <row r="43" spans="1:17">
      <c r="A43" s="2">
        <v>42</v>
      </c>
      <c r="B43" s="4">
        <f>YEAR(H43)</f>
        <v>2023</v>
      </c>
      <c r="C43" s="4">
        <f>MONTH(H43)</f>
        <v>2</v>
      </c>
      <c r="D43" s="4">
        <f>DAY(H43)</f>
        <v>17</v>
      </c>
      <c r="E43" s="4" t="str">
        <f>TEXT(H43,"dddd")</f>
        <v>Friday</v>
      </c>
      <c r="F43" s="4" t="str">
        <f t="shared" si="0"/>
        <v>February</v>
      </c>
      <c r="G43" s="4"/>
      <c r="H43" s="3">
        <v>44974</v>
      </c>
      <c r="I43" s="4" t="s">
        <v>77</v>
      </c>
      <c r="J43" s="4" t="s">
        <v>27</v>
      </c>
      <c r="K43" s="4">
        <v>63</v>
      </c>
      <c r="L43" s="4" t="str" cm="1">
        <f t="array" ref="L43">_xlfn.IFS(K43&gt;=50, "Senior", K43&gt;=30, "Adult", K43&lt;30, "Young Adult")</f>
        <v>Senior</v>
      </c>
      <c r="M43" s="4" t="s">
        <v>8</v>
      </c>
      <c r="N43" s="4">
        <v>3</v>
      </c>
      <c r="O43" s="5">
        <v>300</v>
      </c>
      <c r="P43">
        <f>N43*O43</f>
        <v>900</v>
      </c>
      <c r="Q43">
        <f>(P43*$U$4)</f>
        <v>13.5</v>
      </c>
    </row>
    <row r="44" spans="1:17">
      <c r="A44" s="2">
        <v>43</v>
      </c>
      <c r="B44" s="4">
        <f>YEAR(H44)</f>
        <v>2023</v>
      </c>
      <c r="C44" s="4">
        <f>MONTH(H44)</f>
        <v>7</v>
      </c>
      <c r="D44" s="4">
        <f>DAY(H44)</f>
        <v>14</v>
      </c>
      <c r="E44" s="4" t="str">
        <f>TEXT(H44,"dddd")</f>
        <v>Friday</v>
      </c>
      <c r="F44" s="4" t="str">
        <f t="shared" si="0"/>
        <v>July</v>
      </c>
      <c r="G44" s="4"/>
      <c r="H44" s="3">
        <v>45121</v>
      </c>
      <c r="I44" s="4" t="s">
        <v>78</v>
      </c>
      <c r="J44" s="4" t="s">
        <v>29</v>
      </c>
      <c r="K44" s="4">
        <v>63</v>
      </c>
      <c r="L44" s="4" t="str" cm="1">
        <f t="array" ref="L44">_xlfn.IFS(K44&gt;=50, "Senior", K44&gt;=30, "Adult", K44&lt;30, "Young Adult")</f>
        <v>Senior</v>
      </c>
      <c r="M44" s="4" t="s">
        <v>8</v>
      </c>
      <c r="N44" s="4">
        <v>1</v>
      </c>
      <c r="O44" s="5">
        <v>300</v>
      </c>
      <c r="P44">
        <f>N44*O44</f>
        <v>300</v>
      </c>
      <c r="Q44">
        <f>(P44*$U$4)</f>
        <v>4.5</v>
      </c>
    </row>
    <row r="45" spans="1:17">
      <c r="A45" s="2">
        <v>44</v>
      </c>
      <c r="B45" s="4">
        <f>YEAR(H45)</f>
        <v>2023</v>
      </c>
      <c r="C45" s="4">
        <f>MONTH(H45)</f>
        <v>2</v>
      </c>
      <c r="D45" s="4">
        <f>DAY(H45)</f>
        <v>19</v>
      </c>
      <c r="E45" s="4" t="str">
        <f>TEXT(H45,"dddd")</f>
        <v>Sunday</v>
      </c>
      <c r="F45" s="4" t="str">
        <f t="shared" si="0"/>
        <v>February</v>
      </c>
      <c r="G45" s="4"/>
      <c r="H45" s="3">
        <v>44976</v>
      </c>
      <c r="I45" s="4" t="s">
        <v>79</v>
      </c>
      <c r="J45" s="4" t="s">
        <v>29</v>
      </c>
      <c r="K45" s="4">
        <v>63</v>
      </c>
      <c r="L45" s="4" t="str" cm="1">
        <f t="array" ref="L45">_xlfn.IFS(K45&gt;=50, "Senior", K45&gt;=30, "Adult", K45&lt;30, "Young Adult")</f>
        <v>Senior</v>
      </c>
      <c r="M45" s="4" t="s">
        <v>8</v>
      </c>
      <c r="N45" s="4">
        <v>1</v>
      </c>
      <c r="O45" s="5">
        <v>25</v>
      </c>
      <c r="P45">
        <f>N45*O45</f>
        <v>25</v>
      </c>
      <c r="Q45">
        <f>(P45*$U$4)</f>
        <v>0.375</v>
      </c>
    </row>
    <row r="46" spans="1:17">
      <c r="A46" s="2">
        <v>45</v>
      </c>
      <c r="B46" s="4">
        <f>YEAR(H46)</f>
        <v>2023</v>
      </c>
      <c r="C46" s="4">
        <f>MONTH(H46)</f>
        <v>7</v>
      </c>
      <c r="D46" s="4">
        <f>DAY(H46)</f>
        <v>3</v>
      </c>
      <c r="E46" s="4" t="str">
        <f>TEXT(H46,"dddd")</f>
        <v>Monday</v>
      </c>
      <c r="F46" s="4" t="str">
        <f t="shared" si="0"/>
        <v>July</v>
      </c>
      <c r="G46" s="4"/>
      <c r="H46" s="3">
        <v>45110</v>
      </c>
      <c r="I46" s="4" t="s">
        <v>80</v>
      </c>
      <c r="J46" s="4" t="s">
        <v>29</v>
      </c>
      <c r="K46" s="4">
        <v>63</v>
      </c>
      <c r="L46" s="4" t="str" cm="1">
        <f t="array" ref="L46">_xlfn.IFS(K46&gt;=50, "Senior", K46&gt;=30, "Adult", K46&lt;30, "Young Adult")</f>
        <v>Senior</v>
      </c>
      <c r="M46" s="4" t="s">
        <v>10</v>
      </c>
      <c r="N46" s="4">
        <v>1</v>
      </c>
      <c r="O46" s="5">
        <v>30</v>
      </c>
      <c r="P46">
        <f>N46*O46</f>
        <v>30</v>
      </c>
      <c r="Q46">
        <f>(P46*$U$4)</f>
        <v>0.44999999999999996</v>
      </c>
    </row>
    <row r="47" spans="1:17">
      <c r="A47" s="2">
        <v>46</v>
      </c>
      <c r="B47" s="4">
        <f>YEAR(H47)</f>
        <v>2023</v>
      </c>
      <c r="C47" s="4">
        <f>MONTH(H47)</f>
        <v>6</v>
      </c>
      <c r="D47" s="4">
        <f>DAY(H47)</f>
        <v>26</v>
      </c>
      <c r="E47" s="4" t="str">
        <f>TEXT(H47,"dddd")</f>
        <v>Monday</v>
      </c>
      <c r="F47" s="4" t="str">
        <f t="shared" si="0"/>
        <v>June</v>
      </c>
      <c r="G47" s="4"/>
      <c r="H47" s="3">
        <v>45103</v>
      </c>
      <c r="I47" s="4" t="s">
        <v>81</v>
      </c>
      <c r="J47" s="4" t="s">
        <v>29</v>
      </c>
      <c r="K47" s="4">
        <v>63</v>
      </c>
      <c r="L47" s="4" t="str" cm="1">
        <f t="array" ref="L47">_xlfn.IFS(K47&gt;=50, "Senior", K47&gt;=30, "Adult", K47&lt;30, "Young Adult")</f>
        <v>Senior</v>
      </c>
      <c r="M47" s="4" t="s">
        <v>10</v>
      </c>
      <c r="N47" s="4">
        <v>4</v>
      </c>
      <c r="O47" s="5">
        <v>300</v>
      </c>
      <c r="P47">
        <f>N47*O47</f>
        <v>1200</v>
      </c>
      <c r="Q47">
        <f>(P47*$U$4)</f>
        <v>18</v>
      </c>
    </row>
    <row r="48" spans="1:17">
      <c r="A48" s="2">
        <v>47</v>
      </c>
      <c r="B48" s="4">
        <f>YEAR(H48)</f>
        <v>2023</v>
      </c>
      <c r="C48" s="4">
        <f>MONTH(H48)</f>
        <v>11</v>
      </c>
      <c r="D48" s="4">
        <f>DAY(H48)</f>
        <v>6</v>
      </c>
      <c r="E48" s="4" t="str">
        <f>TEXT(H48,"dddd")</f>
        <v>Monday</v>
      </c>
      <c r="F48" s="4" t="str">
        <f t="shared" si="0"/>
        <v>November</v>
      </c>
      <c r="G48" s="4"/>
      <c r="H48" s="3">
        <v>45236</v>
      </c>
      <c r="I48" s="4" t="s">
        <v>82</v>
      </c>
      <c r="J48" s="4" t="s">
        <v>29</v>
      </c>
      <c r="K48" s="4">
        <v>63</v>
      </c>
      <c r="L48" s="4" t="str" cm="1">
        <f t="array" ref="L48">_xlfn.IFS(K48&gt;=50, "Senior", K48&gt;=30, "Adult", K48&lt;30, "Young Adult")</f>
        <v>Senior</v>
      </c>
      <c r="M48" s="4" t="s">
        <v>3</v>
      </c>
      <c r="N48" s="4">
        <v>3</v>
      </c>
      <c r="O48" s="5">
        <v>500</v>
      </c>
      <c r="P48">
        <f>N48*O48</f>
        <v>1500</v>
      </c>
      <c r="Q48">
        <f>(P48*$U$4)</f>
        <v>22.5</v>
      </c>
    </row>
    <row r="49" spans="1:17">
      <c r="A49" s="2">
        <v>48</v>
      </c>
      <c r="B49" s="4">
        <f>YEAR(H49)</f>
        <v>2023</v>
      </c>
      <c r="C49" s="4">
        <f>MONTH(H49)</f>
        <v>5</v>
      </c>
      <c r="D49" s="4">
        <f>DAY(H49)</f>
        <v>16</v>
      </c>
      <c r="E49" s="4" t="str">
        <f>TEXT(H49,"dddd")</f>
        <v>Tuesday</v>
      </c>
      <c r="F49" s="4" t="str">
        <f t="shared" si="0"/>
        <v>May</v>
      </c>
      <c r="G49" s="4"/>
      <c r="H49" s="3">
        <v>45062</v>
      </c>
      <c r="I49" s="4" t="s">
        <v>83</v>
      </c>
      <c r="J49" s="4" t="s">
        <v>27</v>
      </c>
      <c r="K49" s="4">
        <v>63</v>
      </c>
      <c r="L49" s="4" t="str" cm="1">
        <f t="array" ref="L49">_xlfn.IFS(K49&gt;=50, "Senior", K49&gt;=30, "Adult", K49&lt;30, "Young Adult")</f>
        <v>Senior</v>
      </c>
      <c r="M49" s="4" t="s">
        <v>10</v>
      </c>
      <c r="N49" s="4">
        <v>3</v>
      </c>
      <c r="O49" s="5">
        <v>300</v>
      </c>
      <c r="P49">
        <f>N49*O49</f>
        <v>900</v>
      </c>
      <c r="Q49">
        <f>(P49*$U$4)</f>
        <v>13.5</v>
      </c>
    </row>
    <row r="50" spans="1:17">
      <c r="A50" s="2">
        <v>49</v>
      </c>
      <c r="B50" s="4">
        <f>YEAR(H50)</f>
        <v>2023</v>
      </c>
      <c r="C50" s="4">
        <f>MONTH(H50)</f>
        <v>1</v>
      </c>
      <c r="D50" s="4">
        <f>DAY(H50)</f>
        <v>23</v>
      </c>
      <c r="E50" s="4" t="str">
        <f>TEXT(H50,"dddd")</f>
        <v>Monday</v>
      </c>
      <c r="F50" s="4" t="str">
        <f t="shared" si="0"/>
        <v>January</v>
      </c>
      <c r="G50" s="4"/>
      <c r="H50" s="3">
        <v>44949</v>
      </c>
      <c r="I50" s="4" t="s">
        <v>84</v>
      </c>
      <c r="J50" s="4" t="s">
        <v>29</v>
      </c>
      <c r="K50" s="4">
        <v>62</v>
      </c>
      <c r="L50" s="4" t="str" cm="1">
        <f t="array" ref="L50">_xlfn.IFS(K50&gt;=50, "Senior", K50&gt;=30, "Adult", K50&lt;30, "Young Adult")</f>
        <v>Senior</v>
      </c>
      <c r="M50" s="4" t="s">
        <v>10</v>
      </c>
      <c r="N50" s="4">
        <v>2</v>
      </c>
      <c r="O50" s="5">
        <v>500</v>
      </c>
      <c r="P50">
        <f>N50*O50</f>
        <v>1000</v>
      </c>
      <c r="Q50">
        <f>(P50*$U$4)</f>
        <v>15</v>
      </c>
    </row>
    <row r="51" spans="1:17">
      <c r="A51" s="2">
        <v>50</v>
      </c>
      <c r="B51" s="4">
        <f>YEAR(H51)</f>
        <v>2023</v>
      </c>
      <c r="C51" s="4">
        <f>MONTH(H51)</f>
        <v>8</v>
      </c>
      <c r="D51" s="4">
        <f>DAY(H51)</f>
        <v>24</v>
      </c>
      <c r="E51" s="4" t="str">
        <f>TEXT(H51,"dddd")</f>
        <v>Thursday</v>
      </c>
      <c r="F51" s="4" t="str">
        <f t="shared" si="0"/>
        <v>August</v>
      </c>
      <c r="G51" s="4"/>
      <c r="H51" s="3">
        <v>45162</v>
      </c>
      <c r="I51" s="4" t="s">
        <v>85</v>
      </c>
      <c r="J51" s="4" t="s">
        <v>29</v>
      </c>
      <c r="K51" s="4">
        <v>62</v>
      </c>
      <c r="L51" s="4" t="str" cm="1">
        <f t="array" ref="L51">_xlfn.IFS(K51&gt;=50, "Senior", K51&gt;=30, "Adult", K51&lt;30, "Young Adult")</f>
        <v>Senior</v>
      </c>
      <c r="M51" s="4" t="s">
        <v>3</v>
      </c>
      <c r="N51" s="4">
        <v>3</v>
      </c>
      <c r="O51" s="5">
        <v>25</v>
      </c>
      <c r="P51">
        <f>N51*O51</f>
        <v>75</v>
      </c>
      <c r="Q51">
        <f>(P51*$U$4)</f>
        <v>1.125</v>
      </c>
    </row>
    <row r="52" spans="1:17">
      <c r="A52" s="2">
        <v>51</v>
      </c>
      <c r="B52" s="4">
        <f>YEAR(H52)</f>
        <v>2023</v>
      </c>
      <c r="C52" s="4">
        <f>MONTH(H52)</f>
        <v>10</v>
      </c>
      <c r="D52" s="4">
        <f>DAY(H52)</f>
        <v>2</v>
      </c>
      <c r="E52" s="4" t="str">
        <f>TEXT(H52,"dddd")</f>
        <v>Monday</v>
      </c>
      <c r="F52" s="4" t="str">
        <f t="shared" si="0"/>
        <v>October</v>
      </c>
      <c r="G52" s="4"/>
      <c r="H52" s="3">
        <v>45201</v>
      </c>
      <c r="I52" s="4" t="s">
        <v>86</v>
      </c>
      <c r="J52" s="4" t="s">
        <v>27</v>
      </c>
      <c r="K52" s="4">
        <v>62</v>
      </c>
      <c r="L52" s="4" t="str" cm="1">
        <f t="array" ref="L52">_xlfn.IFS(K52&gt;=50, "Senior", K52&gt;=30, "Adult", K52&lt;30, "Young Adult")</f>
        <v>Senior</v>
      </c>
      <c r="M52" s="4" t="s">
        <v>3</v>
      </c>
      <c r="N52" s="4">
        <v>3</v>
      </c>
      <c r="O52" s="5">
        <v>25</v>
      </c>
      <c r="P52">
        <f>N52*O52</f>
        <v>75</v>
      </c>
      <c r="Q52">
        <f>(P52*$U$4)</f>
        <v>1.125</v>
      </c>
    </row>
    <row r="53" spans="1:17">
      <c r="A53" s="2">
        <v>52</v>
      </c>
      <c r="B53" s="4">
        <f>YEAR(H53)</f>
        <v>2023</v>
      </c>
      <c r="C53" s="4">
        <f>MONTH(H53)</f>
        <v>3</v>
      </c>
      <c r="D53" s="4">
        <f>DAY(H53)</f>
        <v>5</v>
      </c>
      <c r="E53" s="4" t="str">
        <f>TEXT(H53,"dddd")</f>
        <v>Sunday</v>
      </c>
      <c r="F53" s="4" t="str">
        <f t="shared" si="0"/>
        <v>March</v>
      </c>
      <c r="G53" s="4"/>
      <c r="H53" s="3">
        <v>44990</v>
      </c>
      <c r="I53" s="4" t="s">
        <v>87</v>
      </c>
      <c r="J53" s="4" t="s">
        <v>29</v>
      </c>
      <c r="K53" s="4">
        <v>62</v>
      </c>
      <c r="L53" s="4" t="str" cm="1">
        <f t="array" ref="L53">_xlfn.IFS(K53&gt;=50, "Senior", K53&gt;=30, "Adult", K53&lt;30, "Young Adult")</f>
        <v>Senior</v>
      </c>
      <c r="M53" s="4" t="s">
        <v>3</v>
      </c>
      <c r="N53" s="4">
        <v>1</v>
      </c>
      <c r="O53" s="5">
        <v>300</v>
      </c>
      <c r="P53">
        <f>N53*O53</f>
        <v>300</v>
      </c>
      <c r="Q53">
        <f>(P53*$U$4)</f>
        <v>4.5</v>
      </c>
    </row>
    <row r="54" spans="1:17">
      <c r="A54" s="2">
        <v>53</v>
      </c>
      <c r="B54" s="4">
        <f>YEAR(H54)</f>
        <v>2023</v>
      </c>
      <c r="C54" s="4">
        <f>MONTH(H54)</f>
        <v>7</v>
      </c>
      <c r="D54" s="4">
        <f>DAY(H54)</f>
        <v>13</v>
      </c>
      <c r="E54" s="4" t="str">
        <f>TEXT(H54,"dddd")</f>
        <v>Thursday</v>
      </c>
      <c r="F54" s="4" t="str">
        <f t="shared" si="0"/>
        <v>July</v>
      </c>
      <c r="G54" s="4"/>
      <c r="H54" s="3">
        <v>45120</v>
      </c>
      <c r="I54" s="4" t="s">
        <v>88</v>
      </c>
      <c r="J54" s="4" t="s">
        <v>27</v>
      </c>
      <c r="K54" s="4">
        <v>62</v>
      </c>
      <c r="L54" s="4" t="str" cm="1">
        <f t="array" ref="L54">_xlfn.IFS(K54&gt;=50, "Senior", K54&gt;=30, "Adult", K54&lt;30, "Young Adult")</f>
        <v>Senior</v>
      </c>
      <c r="M54" s="4" t="s">
        <v>10</v>
      </c>
      <c r="N54" s="4">
        <v>2</v>
      </c>
      <c r="O54" s="5">
        <v>50</v>
      </c>
      <c r="P54">
        <f>N54*O54</f>
        <v>100</v>
      </c>
      <c r="Q54">
        <f>(P54*$U$4)</f>
        <v>1.5</v>
      </c>
    </row>
    <row r="55" spans="1:17">
      <c r="A55" s="2">
        <v>54</v>
      </c>
      <c r="B55" s="4">
        <f>YEAR(H55)</f>
        <v>2023</v>
      </c>
      <c r="C55" s="4">
        <f>MONTH(H55)</f>
        <v>2</v>
      </c>
      <c r="D55" s="4">
        <f>DAY(H55)</f>
        <v>10</v>
      </c>
      <c r="E55" s="4" t="str">
        <f>TEXT(H55,"dddd")</f>
        <v>Friday</v>
      </c>
      <c r="F55" s="4" t="str">
        <f t="shared" si="0"/>
        <v>February</v>
      </c>
      <c r="G55" s="4"/>
      <c r="H55" s="3">
        <v>44967</v>
      </c>
      <c r="I55" s="4" t="s">
        <v>89</v>
      </c>
      <c r="J55" s="4" t="s">
        <v>29</v>
      </c>
      <c r="K55" s="4">
        <v>62</v>
      </c>
      <c r="L55" s="4" t="str" cm="1">
        <f t="array" ref="L55">_xlfn.IFS(K55&gt;=50, "Senior", K55&gt;=30, "Adult", K55&lt;30, "Young Adult")</f>
        <v>Senior</v>
      </c>
      <c r="M55" s="4" t="s">
        <v>10</v>
      </c>
      <c r="N55" s="4">
        <v>3</v>
      </c>
      <c r="O55" s="5">
        <v>500</v>
      </c>
      <c r="P55">
        <f>N55*O55</f>
        <v>1500</v>
      </c>
      <c r="Q55">
        <f>(P55*$U$4)</f>
        <v>22.5</v>
      </c>
    </row>
    <row r="56" spans="1:17">
      <c r="A56" s="2">
        <v>55</v>
      </c>
      <c r="B56" s="4">
        <f>YEAR(H56)</f>
        <v>2023</v>
      </c>
      <c r="C56" s="4">
        <f>MONTH(H56)</f>
        <v>10</v>
      </c>
      <c r="D56" s="4">
        <f>DAY(H56)</f>
        <v>10</v>
      </c>
      <c r="E56" s="4" t="str">
        <f>TEXT(H56,"dddd")</f>
        <v>Tuesday</v>
      </c>
      <c r="F56" s="4" t="str">
        <f t="shared" si="0"/>
        <v>October</v>
      </c>
      <c r="G56" s="4"/>
      <c r="H56" s="3">
        <v>45209</v>
      </c>
      <c r="I56" s="4" t="s">
        <v>90</v>
      </c>
      <c r="J56" s="4" t="s">
        <v>27</v>
      </c>
      <c r="K56" s="4">
        <v>62</v>
      </c>
      <c r="L56" s="4" t="str" cm="1">
        <f t="array" ref="L56">_xlfn.IFS(K56&gt;=50, "Senior", K56&gt;=30, "Adult", K56&lt;30, "Young Adult")</f>
        <v>Senior</v>
      </c>
      <c r="M56" s="4" t="s">
        <v>3</v>
      </c>
      <c r="N56" s="4">
        <v>4</v>
      </c>
      <c r="O56" s="5">
        <v>30</v>
      </c>
      <c r="P56">
        <f>N56*O56</f>
        <v>120</v>
      </c>
      <c r="Q56">
        <f>(P56*$U$4)</f>
        <v>1.7999999999999998</v>
      </c>
    </row>
    <row r="57" spans="1:17">
      <c r="A57" s="2">
        <v>56</v>
      </c>
      <c r="B57" s="4">
        <f>YEAR(H57)</f>
        <v>2023</v>
      </c>
      <c r="C57" s="4">
        <f>MONTH(H57)</f>
        <v>5</v>
      </c>
      <c r="D57" s="4">
        <f>DAY(H57)</f>
        <v>31</v>
      </c>
      <c r="E57" s="4" t="str">
        <f>TEXT(H57,"dddd")</f>
        <v>Wednesday</v>
      </c>
      <c r="F57" s="4" t="str">
        <f t="shared" si="0"/>
        <v>May</v>
      </c>
      <c r="G57" s="4"/>
      <c r="H57" s="3">
        <v>45077</v>
      </c>
      <c r="I57" s="4" t="s">
        <v>91</v>
      </c>
      <c r="J57" s="4" t="s">
        <v>29</v>
      </c>
      <c r="K57" s="4">
        <v>62</v>
      </c>
      <c r="L57" s="4" t="str" cm="1">
        <f t="array" ref="L57">_xlfn.IFS(K57&gt;=50, "Senior", K57&gt;=30, "Adult", K57&lt;30, "Young Adult")</f>
        <v>Senior</v>
      </c>
      <c r="M57" s="4" t="s">
        <v>8</v>
      </c>
      <c r="N57" s="4">
        <v>3</v>
      </c>
      <c r="O57" s="5">
        <v>300</v>
      </c>
      <c r="P57">
        <f>N57*O57</f>
        <v>900</v>
      </c>
      <c r="Q57">
        <f>(P57*$U$4)</f>
        <v>13.5</v>
      </c>
    </row>
    <row r="58" spans="1:17">
      <c r="A58" s="2">
        <v>57</v>
      </c>
      <c r="B58" s="4">
        <f>YEAR(H58)</f>
        <v>2023</v>
      </c>
      <c r="C58" s="4">
        <f>MONTH(H58)</f>
        <v>11</v>
      </c>
      <c r="D58" s="4">
        <f>DAY(H58)</f>
        <v>18</v>
      </c>
      <c r="E58" s="4" t="str">
        <f>TEXT(H58,"dddd")</f>
        <v>Saturday</v>
      </c>
      <c r="F58" s="4" t="str">
        <f t="shared" si="0"/>
        <v>November</v>
      </c>
      <c r="G58" s="4"/>
      <c r="H58" s="3">
        <v>45248</v>
      </c>
      <c r="I58" s="4" t="s">
        <v>92</v>
      </c>
      <c r="J58" s="4" t="s">
        <v>29</v>
      </c>
      <c r="K58" s="4">
        <v>62</v>
      </c>
      <c r="L58" s="4" t="str" cm="1">
        <f t="array" ref="L58">_xlfn.IFS(K58&gt;=50, "Senior", K58&gt;=30, "Adult", K58&lt;30, "Young Adult")</f>
        <v>Senior</v>
      </c>
      <c r="M58" s="4" t="s">
        <v>3</v>
      </c>
      <c r="N58" s="4">
        <v>1</v>
      </c>
      <c r="O58" s="5">
        <v>30</v>
      </c>
      <c r="P58">
        <f>N58*O58</f>
        <v>30</v>
      </c>
      <c r="Q58">
        <f>(P58*$U$4)</f>
        <v>0.44999999999999996</v>
      </c>
    </row>
    <row r="59" spans="1:17">
      <c r="A59" s="2">
        <v>58</v>
      </c>
      <c r="B59" s="4">
        <f>YEAR(H59)</f>
        <v>2023</v>
      </c>
      <c r="C59" s="4">
        <f>MONTH(H59)</f>
        <v>11</v>
      </c>
      <c r="D59" s="4">
        <f>DAY(H59)</f>
        <v>13</v>
      </c>
      <c r="E59" s="4" t="str">
        <f>TEXT(H59,"dddd")</f>
        <v>Monday</v>
      </c>
      <c r="F59" s="4" t="str">
        <f t="shared" si="0"/>
        <v>November</v>
      </c>
      <c r="G59" s="4"/>
      <c r="H59" s="3">
        <v>45243</v>
      </c>
      <c r="I59" s="4" t="s">
        <v>93</v>
      </c>
      <c r="J59" s="4" t="s">
        <v>27</v>
      </c>
      <c r="K59" s="4">
        <v>62</v>
      </c>
      <c r="L59" s="4" t="str" cm="1">
        <f t="array" ref="L59">_xlfn.IFS(K59&gt;=50, "Senior", K59&gt;=30, "Adult", K59&lt;30, "Young Adult")</f>
        <v>Senior</v>
      </c>
      <c r="M59" s="4" t="s">
        <v>8</v>
      </c>
      <c r="N59" s="4">
        <v>4</v>
      </c>
      <c r="O59" s="5">
        <v>300</v>
      </c>
      <c r="P59">
        <f>N59*O59</f>
        <v>1200</v>
      </c>
      <c r="Q59">
        <f>(P59*$U$4)</f>
        <v>18</v>
      </c>
    </row>
    <row r="60" spans="1:17">
      <c r="A60" s="2">
        <v>59</v>
      </c>
      <c r="B60" s="4">
        <f>YEAR(H60)</f>
        <v>2023</v>
      </c>
      <c r="C60" s="4">
        <f>MONTH(H60)</f>
        <v>7</v>
      </c>
      <c r="D60" s="4">
        <f>DAY(H60)</f>
        <v>5</v>
      </c>
      <c r="E60" s="4" t="str">
        <f>TEXT(H60,"dddd")</f>
        <v>Wednesday</v>
      </c>
      <c r="F60" s="4" t="str">
        <f t="shared" si="0"/>
        <v>July</v>
      </c>
      <c r="G60" s="4"/>
      <c r="H60" s="3">
        <v>45112</v>
      </c>
      <c r="I60" s="4" t="s">
        <v>94</v>
      </c>
      <c r="J60" s="4" t="s">
        <v>27</v>
      </c>
      <c r="K60" s="4">
        <v>62</v>
      </c>
      <c r="L60" s="4" t="str" cm="1">
        <f t="array" ref="L60">_xlfn.IFS(K60&gt;=50, "Senior", K60&gt;=30, "Adult", K60&lt;30, "Young Adult")</f>
        <v>Senior</v>
      </c>
      <c r="M60" s="4" t="s">
        <v>8</v>
      </c>
      <c r="N60" s="4">
        <v>1</v>
      </c>
      <c r="O60" s="5">
        <v>50</v>
      </c>
      <c r="P60">
        <f>N60*O60</f>
        <v>50</v>
      </c>
      <c r="Q60">
        <f>(P60*$U$4)</f>
        <v>0.75</v>
      </c>
    </row>
    <row r="61" spans="1:17">
      <c r="A61" s="2">
        <v>60</v>
      </c>
      <c r="B61" s="4">
        <f>YEAR(H61)</f>
        <v>2023</v>
      </c>
      <c r="C61" s="4">
        <f>MONTH(H61)</f>
        <v>10</v>
      </c>
      <c r="D61" s="4">
        <f>DAY(H61)</f>
        <v>23</v>
      </c>
      <c r="E61" s="4" t="str">
        <f>TEXT(H61,"dddd")</f>
        <v>Monday</v>
      </c>
      <c r="F61" s="4" t="str">
        <f t="shared" si="0"/>
        <v>October</v>
      </c>
      <c r="G61" s="4"/>
      <c r="H61" s="3">
        <v>45222</v>
      </c>
      <c r="I61" s="4" t="s">
        <v>95</v>
      </c>
      <c r="J61" s="4" t="s">
        <v>27</v>
      </c>
      <c r="K61" s="4">
        <v>62</v>
      </c>
      <c r="L61" s="4" t="str" cm="1">
        <f t="array" ref="L61">_xlfn.IFS(K61&gt;=50, "Senior", K61&gt;=30, "Adult", K61&lt;30, "Young Adult")</f>
        <v>Senior</v>
      </c>
      <c r="M61" s="4" t="s">
        <v>3</v>
      </c>
      <c r="N61" s="4">
        <v>3</v>
      </c>
      <c r="O61" s="5">
        <v>50</v>
      </c>
      <c r="P61">
        <f>N61*O61</f>
        <v>150</v>
      </c>
      <c r="Q61">
        <f>(P61*$U$4)</f>
        <v>2.25</v>
      </c>
    </row>
    <row r="62" spans="1:17">
      <c r="A62" s="2">
        <v>61</v>
      </c>
      <c r="B62" s="4">
        <f>YEAR(H62)</f>
        <v>2023</v>
      </c>
      <c r="C62" s="4">
        <f>MONTH(H62)</f>
        <v>4</v>
      </c>
      <c r="D62" s="4">
        <f>DAY(H62)</f>
        <v>9</v>
      </c>
      <c r="E62" s="4" t="str">
        <f>TEXT(H62,"dddd")</f>
        <v>Sunday</v>
      </c>
      <c r="F62" s="4" t="str">
        <f t="shared" si="0"/>
        <v>April</v>
      </c>
      <c r="G62" s="4"/>
      <c r="H62" s="3">
        <v>45025</v>
      </c>
      <c r="I62" s="4" t="s">
        <v>96</v>
      </c>
      <c r="J62" s="4" t="s">
        <v>27</v>
      </c>
      <c r="K62" s="4">
        <v>62</v>
      </c>
      <c r="L62" s="4" t="str" cm="1">
        <f t="array" ref="L62">_xlfn.IFS(K62&gt;=50, "Senior", K62&gt;=30, "Adult", K62&lt;30, "Young Adult")</f>
        <v>Senior</v>
      </c>
      <c r="M62" s="4" t="s">
        <v>3</v>
      </c>
      <c r="N62" s="4">
        <v>4</v>
      </c>
      <c r="O62" s="5">
        <v>50</v>
      </c>
      <c r="P62">
        <f>N62*O62</f>
        <v>200</v>
      </c>
      <c r="Q62">
        <f>(P62*$U$4)</f>
        <v>3</v>
      </c>
    </row>
    <row r="63" spans="1:17">
      <c r="A63" s="2">
        <v>62</v>
      </c>
      <c r="B63" s="4">
        <f>YEAR(H63)</f>
        <v>2023</v>
      </c>
      <c r="C63" s="4">
        <f>MONTH(H63)</f>
        <v>12</v>
      </c>
      <c r="D63" s="4">
        <f>DAY(H63)</f>
        <v>27</v>
      </c>
      <c r="E63" s="4" t="str">
        <f>TEXT(H63,"dddd")</f>
        <v>Wednesday</v>
      </c>
      <c r="F63" s="4" t="str">
        <f t="shared" si="0"/>
        <v>December</v>
      </c>
      <c r="G63" s="4"/>
      <c r="H63" s="3">
        <v>45287</v>
      </c>
      <c r="I63" s="4" t="s">
        <v>97</v>
      </c>
      <c r="J63" s="4" t="s">
        <v>27</v>
      </c>
      <c r="K63" s="4">
        <v>62</v>
      </c>
      <c r="L63" s="4" t="str" cm="1">
        <f t="array" ref="L63">_xlfn.IFS(K63&gt;=50, "Senior", K63&gt;=30, "Adult", K63&lt;30, "Young Adult")</f>
        <v>Senior</v>
      </c>
      <c r="M63" s="4" t="s">
        <v>3</v>
      </c>
      <c r="N63" s="4">
        <v>2</v>
      </c>
      <c r="O63" s="5">
        <v>50</v>
      </c>
      <c r="P63">
        <f>N63*O63</f>
        <v>100</v>
      </c>
      <c r="Q63">
        <f>(P63*$U$4)</f>
        <v>1.5</v>
      </c>
    </row>
    <row r="64" spans="1:17">
      <c r="A64" s="2">
        <v>63</v>
      </c>
      <c r="B64" s="4">
        <f>YEAR(H64)</f>
        <v>2023</v>
      </c>
      <c r="C64" s="4">
        <f>MONTH(H64)</f>
        <v>2</v>
      </c>
      <c r="D64" s="4">
        <f>DAY(H64)</f>
        <v>5</v>
      </c>
      <c r="E64" s="4" t="str">
        <f>TEXT(H64,"dddd")</f>
        <v>Sunday</v>
      </c>
      <c r="F64" s="4" t="str">
        <f t="shared" si="0"/>
        <v>February</v>
      </c>
      <c r="G64" s="4"/>
      <c r="H64" s="3">
        <v>44962</v>
      </c>
      <c r="I64" s="4" t="s">
        <v>98</v>
      </c>
      <c r="J64" s="4" t="s">
        <v>27</v>
      </c>
      <c r="K64" s="4">
        <v>62</v>
      </c>
      <c r="L64" s="4" t="str" cm="1">
        <f t="array" ref="L64">_xlfn.IFS(K64&gt;=50, "Senior", K64&gt;=30, "Adult", K64&lt;30, "Young Adult")</f>
        <v>Senior</v>
      </c>
      <c r="M64" s="4" t="s">
        <v>10</v>
      </c>
      <c r="N64" s="4">
        <v>2</v>
      </c>
      <c r="O64" s="5">
        <v>25</v>
      </c>
      <c r="P64">
        <f>N64*O64</f>
        <v>50</v>
      </c>
      <c r="Q64">
        <f>(P64*$U$4)</f>
        <v>0.75</v>
      </c>
    </row>
    <row r="65" spans="1:17">
      <c r="A65" s="2">
        <v>64</v>
      </c>
      <c r="B65" s="4">
        <f>YEAR(H65)</f>
        <v>2023</v>
      </c>
      <c r="C65" s="4">
        <f>MONTH(H65)</f>
        <v>1</v>
      </c>
      <c r="D65" s="4">
        <f>DAY(H65)</f>
        <v>24</v>
      </c>
      <c r="E65" s="4" t="str">
        <f>TEXT(H65,"dddd")</f>
        <v>Tuesday</v>
      </c>
      <c r="F65" s="4" t="str">
        <f t="shared" si="0"/>
        <v>January</v>
      </c>
      <c r="G65" s="4"/>
      <c r="H65" s="3">
        <v>44950</v>
      </c>
      <c r="I65" s="4" t="s">
        <v>99</v>
      </c>
      <c r="J65" s="4" t="s">
        <v>27</v>
      </c>
      <c r="K65" s="4">
        <v>62</v>
      </c>
      <c r="L65" s="4" t="str" cm="1">
        <f t="array" ref="L65">_xlfn.IFS(K65&gt;=50, "Senior", K65&gt;=30, "Adult", K65&lt;30, "Young Adult")</f>
        <v>Senior</v>
      </c>
      <c r="M65" s="4" t="s">
        <v>8</v>
      </c>
      <c r="N65" s="4">
        <v>4</v>
      </c>
      <c r="O65" s="5">
        <v>25</v>
      </c>
      <c r="P65">
        <f>N65*O65</f>
        <v>100</v>
      </c>
      <c r="Q65">
        <f>(P65*$U$4)</f>
        <v>1.5</v>
      </c>
    </row>
    <row r="66" spans="1:17">
      <c r="A66" s="2">
        <v>65</v>
      </c>
      <c r="B66" s="4">
        <f>YEAR(H66)</f>
        <v>2023</v>
      </c>
      <c r="C66" s="4">
        <f>MONTH(H66)</f>
        <v>12</v>
      </c>
      <c r="D66" s="4">
        <f>DAY(H66)</f>
        <v>5</v>
      </c>
      <c r="E66" s="4" t="str">
        <f>TEXT(H66,"dddd")</f>
        <v>Tuesday</v>
      </c>
      <c r="F66" s="4" t="str">
        <f t="shared" si="0"/>
        <v>December</v>
      </c>
      <c r="G66" s="4"/>
      <c r="H66" s="3">
        <v>45265</v>
      </c>
      <c r="I66" s="4" t="s">
        <v>100</v>
      </c>
      <c r="J66" s="4" t="s">
        <v>27</v>
      </c>
      <c r="K66" s="4">
        <v>62</v>
      </c>
      <c r="L66" s="4" t="str" cm="1">
        <f t="array" ref="L66">_xlfn.IFS(K66&gt;=50, "Senior", K66&gt;=30, "Adult", K66&lt;30, "Young Adult")</f>
        <v>Senior</v>
      </c>
      <c r="M66" s="4" t="s">
        <v>10</v>
      </c>
      <c r="N66" s="4">
        <v>4</v>
      </c>
      <c r="O66" s="5">
        <v>500</v>
      </c>
      <c r="P66">
        <f>N66*O66</f>
        <v>2000</v>
      </c>
      <c r="Q66">
        <f>(P66*$U$4)</f>
        <v>30</v>
      </c>
    </row>
    <row r="67" spans="1:17">
      <c r="A67" s="2">
        <v>66</v>
      </c>
      <c r="B67" s="4">
        <f>YEAR(H67)</f>
        <v>2023</v>
      </c>
      <c r="C67" s="4">
        <f>MONTH(H67)</f>
        <v>4</v>
      </c>
      <c r="D67" s="4">
        <f>DAY(H67)</f>
        <v>27</v>
      </c>
      <c r="E67" s="4" t="str">
        <f>TEXT(H67,"dddd")</f>
        <v>Thursday</v>
      </c>
      <c r="F67" s="4" t="str">
        <f t="shared" ref="F67:F130" si="2">TEXT(H67,"mmmm")</f>
        <v>April</v>
      </c>
      <c r="G67" s="4"/>
      <c r="H67" s="3">
        <v>45043</v>
      </c>
      <c r="I67" s="4" t="s">
        <v>101</v>
      </c>
      <c r="J67" s="4" t="s">
        <v>29</v>
      </c>
      <c r="K67" s="4">
        <v>62</v>
      </c>
      <c r="L67" s="4" t="str" cm="1">
        <f t="array" ref="L67">_xlfn.IFS(K67&gt;=50, "Senior", K67&gt;=30, "Adult", K67&lt;30, "Young Adult")</f>
        <v>Senior</v>
      </c>
      <c r="M67" s="4" t="s">
        <v>10</v>
      </c>
      <c r="N67" s="4">
        <v>1</v>
      </c>
      <c r="O67" s="5">
        <v>30</v>
      </c>
      <c r="P67">
        <f>N67*O67</f>
        <v>30</v>
      </c>
      <c r="Q67">
        <f>(P67*$U$4)</f>
        <v>0.44999999999999996</v>
      </c>
    </row>
    <row r="68" spans="1:17">
      <c r="A68" s="2">
        <v>67</v>
      </c>
      <c r="B68" s="4">
        <f>YEAR(H68)</f>
        <v>2023</v>
      </c>
      <c r="C68" s="4">
        <f>MONTH(H68)</f>
        <v>5</v>
      </c>
      <c r="D68" s="4">
        <f>DAY(H68)</f>
        <v>29</v>
      </c>
      <c r="E68" s="4" t="str">
        <f>TEXT(H68,"dddd")</f>
        <v>Monday</v>
      </c>
      <c r="F68" s="4" t="str">
        <f t="shared" si="2"/>
        <v>May</v>
      </c>
      <c r="G68" s="4"/>
      <c r="H68" s="3">
        <v>45075</v>
      </c>
      <c r="I68" s="4" t="s">
        <v>102</v>
      </c>
      <c r="J68" s="4" t="s">
        <v>29</v>
      </c>
      <c r="K68" s="4">
        <v>62</v>
      </c>
      <c r="L68" s="4" t="str" cm="1">
        <f t="array" ref="L68">_xlfn.IFS(K68&gt;=50, "Senior", K68&gt;=30, "Adult", K68&lt;30, "Young Adult")</f>
        <v>Senior</v>
      </c>
      <c r="M68" s="4" t="s">
        <v>3</v>
      </c>
      <c r="N68" s="4">
        <v>4</v>
      </c>
      <c r="O68" s="5">
        <v>300</v>
      </c>
      <c r="P68">
        <f>N68*O68</f>
        <v>1200</v>
      </c>
      <c r="Q68">
        <f>(P68*$U$4)</f>
        <v>18</v>
      </c>
    </row>
    <row r="69" spans="1:17">
      <c r="A69" s="2">
        <v>68</v>
      </c>
      <c r="B69" s="4">
        <f>YEAR(H69)</f>
        <v>2023</v>
      </c>
      <c r="C69" s="4">
        <f>MONTH(H69)</f>
        <v>2</v>
      </c>
      <c r="D69" s="4">
        <f>DAY(H69)</f>
        <v>10</v>
      </c>
      <c r="E69" s="4" t="str">
        <f>TEXT(H69,"dddd")</f>
        <v>Friday</v>
      </c>
      <c r="F69" s="4" t="str">
        <f t="shared" si="2"/>
        <v>February</v>
      </c>
      <c r="G69" s="4"/>
      <c r="H69" s="3">
        <v>44967</v>
      </c>
      <c r="I69" s="4" t="s">
        <v>103</v>
      </c>
      <c r="J69" s="4" t="s">
        <v>27</v>
      </c>
      <c r="K69" s="4">
        <v>62</v>
      </c>
      <c r="L69" s="4" t="str" cm="1">
        <f t="array" ref="L69">_xlfn.IFS(K69&gt;=50, "Senior", K69&gt;=30, "Adult", K69&lt;30, "Young Adult")</f>
        <v>Senior</v>
      </c>
      <c r="M69" s="4" t="s">
        <v>10</v>
      </c>
      <c r="N69" s="4">
        <v>1</v>
      </c>
      <c r="O69" s="5">
        <v>300</v>
      </c>
      <c r="P69">
        <f>N69*O69</f>
        <v>300</v>
      </c>
      <c r="Q69">
        <f>(P69*$U$4)</f>
        <v>4.5</v>
      </c>
    </row>
    <row r="70" spans="1:17">
      <c r="A70" s="2">
        <v>69</v>
      </c>
      <c r="B70" s="4">
        <f>YEAR(H70)</f>
        <v>2023</v>
      </c>
      <c r="C70" s="4">
        <f>MONTH(H70)</f>
        <v>4</v>
      </c>
      <c r="D70" s="4">
        <f>DAY(H70)</f>
        <v>30</v>
      </c>
      <c r="E70" s="4" t="str">
        <f>TEXT(H70,"dddd")</f>
        <v>Sunday</v>
      </c>
      <c r="F70" s="4" t="str">
        <f t="shared" si="2"/>
        <v>April</v>
      </c>
      <c r="G70" s="4"/>
      <c r="H70" s="3">
        <v>45046</v>
      </c>
      <c r="I70" s="4" t="s">
        <v>104</v>
      </c>
      <c r="J70" s="4" t="s">
        <v>29</v>
      </c>
      <c r="K70" s="4">
        <v>62</v>
      </c>
      <c r="L70" s="4" t="str" cm="1">
        <f t="array" ref="L70">_xlfn.IFS(K70&gt;=50, "Senior", K70&gt;=30, "Adult", K70&lt;30, "Young Adult")</f>
        <v>Senior</v>
      </c>
      <c r="M70" s="4" t="s">
        <v>3</v>
      </c>
      <c r="N70" s="4">
        <v>3</v>
      </c>
      <c r="O70" s="5">
        <v>25</v>
      </c>
      <c r="P70">
        <f>N70*O70</f>
        <v>75</v>
      </c>
      <c r="Q70">
        <f>(P70*$U$4)</f>
        <v>1.125</v>
      </c>
    </row>
    <row r="71" spans="1:17">
      <c r="A71" s="2">
        <v>70</v>
      </c>
      <c r="B71" s="4">
        <f>YEAR(H71)</f>
        <v>2023</v>
      </c>
      <c r="C71" s="4">
        <f>MONTH(H71)</f>
        <v>2</v>
      </c>
      <c r="D71" s="4">
        <f>DAY(H71)</f>
        <v>21</v>
      </c>
      <c r="E71" s="4" t="str">
        <f>TEXT(H71,"dddd")</f>
        <v>Tuesday</v>
      </c>
      <c r="F71" s="4" t="str">
        <f t="shared" si="2"/>
        <v>February</v>
      </c>
      <c r="G71" s="4"/>
      <c r="H71" s="3">
        <v>44978</v>
      </c>
      <c r="I71" s="4" t="s">
        <v>105</v>
      </c>
      <c r="J71" s="4" t="s">
        <v>29</v>
      </c>
      <c r="K71" s="4">
        <v>62</v>
      </c>
      <c r="L71" s="4" t="str" cm="1">
        <f t="array" ref="L71">_xlfn.IFS(K71&gt;=50, "Senior", K71&gt;=30, "Adult", K71&lt;30, "Young Adult")</f>
        <v>Senior</v>
      </c>
      <c r="M71" s="4" t="s">
        <v>8</v>
      </c>
      <c r="N71" s="4">
        <v>1</v>
      </c>
      <c r="O71" s="5">
        <v>300</v>
      </c>
      <c r="P71">
        <f>N71*O71</f>
        <v>300</v>
      </c>
      <c r="Q71">
        <f>(P71*$U$4)</f>
        <v>4.5</v>
      </c>
    </row>
    <row r="72" spans="1:17">
      <c r="A72" s="2">
        <v>71</v>
      </c>
      <c r="B72" s="4">
        <f>YEAR(H72)</f>
        <v>2023</v>
      </c>
      <c r="C72" s="4">
        <f>MONTH(H72)</f>
        <v>7</v>
      </c>
      <c r="D72" s="4">
        <f>DAY(H72)</f>
        <v>14</v>
      </c>
      <c r="E72" s="4" t="str">
        <f>TEXT(H72,"dddd")</f>
        <v>Friday</v>
      </c>
      <c r="F72" s="4" t="str">
        <f t="shared" si="2"/>
        <v>July</v>
      </c>
      <c r="G72" s="4"/>
      <c r="H72" s="3">
        <v>45121</v>
      </c>
      <c r="I72" s="4" t="s">
        <v>106</v>
      </c>
      <c r="J72" s="4" t="s">
        <v>29</v>
      </c>
      <c r="K72" s="4">
        <v>62</v>
      </c>
      <c r="L72" s="4" t="str" cm="1">
        <f t="array" ref="L72">_xlfn.IFS(K72&gt;=50, "Senior", K72&gt;=30, "Adult", K72&lt;30, "Young Adult")</f>
        <v>Senior</v>
      </c>
      <c r="M72" s="4" t="s">
        <v>3</v>
      </c>
      <c r="N72" s="4">
        <v>4</v>
      </c>
      <c r="O72" s="5">
        <v>25</v>
      </c>
      <c r="P72">
        <f>N72*O72</f>
        <v>100</v>
      </c>
      <c r="Q72">
        <f>(P72*$U$4)</f>
        <v>1.5</v>
      </c>
    </row>
    <row r="73" spans="1:17">
      <c r="A73" s="2">
        <v>72</v>
      </c>
      <c r="B73" s="4">
        <f>YEAR(H73)</f>
        <v>2023</v>
      </c>
      <c r="C73" s="4">
        <f>MONTH(H73)</f>
        <v>5</v>
      </c>
      <c r="D73" s="4">
        <f>DAY(H73)</f>
        <v>23</v>
      </c>
      <c r="E73" s="4" t="str">
        <f>TEXT(H73,"dddd")</f>
        <v>Tuesday</v>
      </c>
      <c r="F73" s="4" t="str">
        <f t="shared" si="2"/>
        <v>May</v>
      </c>
      <c r="G73" s="4"/>
      <c r="H73" s="3">
        <v>45069</v>
      </c>
      <c r="I73" s="4" t="s">
        <v>107</v>
      </c>
      <c r="J73" s="4" t="s">
        <v>29</v>
      </c>
      <c r="K73" s="4">
        <v>62</v>
      </c>
      <c r="L73" s="4" t="str" cm="1">
        <f t="array" ref="L73">_xlfn.IFS(K73&gt;=50, "Senior", K73&gt;=30, "Adult", K73&lt;30, "Young Adult")</f>
        <v>Senior</v>
      </c>
      <c r="M73" s="4" t="s">
        <v>10</v>
      </c>
      <c r="N73" s="4">
        <v>4</v>
      </c>
      <c r="O73" s="5">
        <v>500</v>
      </c>
      <c r="P73">
        <f>N73*O73</f>
        <v>2000</v>
      </c>
      <c r="Q73">
        <f>(P73*$U$4)</f>
        <v>30</v>
      </c>
    </row>
    <row r="74" spans="1:17">
      <c r="A74" s="2">
        <v>73</v>
      </c>
      <c r="B74" s="4">
        <f>YEAR(H74)</f>
        <v>2023</v>
      </c>
      <c r="C74" s="4">
        <f>MONTH(H74)</f>
        <v>8</v>
      </c>
      <c r="D74" s="4">
        <f>DAY(H74)</f>
        <v>21</v>
      </c>
      <c r="E74" s="4" t="str">
        <f>TEXT(H74,"dddd")</f>
        <v>Monday</v>
      </c>
      <c r="F74" s="4" t="str">
        <f t="shared" si="2"/>
        <v>August</v>
      </c>
      <c r="G74" s="4"/>
      <c r="H74" s="3">
        <v>45159</v>
      </c>
      <c r="I74" s="4" t="s">
        <v>108</v>
      </c>
      <c r="J74" s="4" t="s">
        <v>27</v>
      </c>
      <c r="K74" s="4">
        <v>62</v>
      </c>
      <c r="L74" s="4" t="str" cm="1">
        <f t="array" ref="L74">_xlfn.IFS(K74&gt;=50, "Senior", K74&gt;=30, "Adult", K74&lt;30, "Young Adult")</f>
        <v>Senior</v>
      </c>
      <c r="M74" s="4" t="s">
        <v>10</v>
      </c>
      <c r="N74" s="4">
        <v>3</v>
      </c>
      <c r="O74" s="5">
        <v>30</v>
      </c>
      <c r="P74">
        <f>N74*O74</f>
        <v>90</v>
      </c>
      <c r="Q74">
        <f>(P74*$U$4)</f>
        <v>1.3499999999999999</v>
      </c>
    </row>
    <row r="75" spans="1:17">
      <c r="A75" s="2">
        <v>74</v>
      </c>
      <c r="B75" s="4">
        <f>YEAR(H75)</f>
        <v>2023</v>
      </c>
      <c r="C75" s="4">
        <f>MONTH(H75)</f>
        <v>11</v>
      </c>
      <c r="D75" s="4">
        <f>DAY(H75)</f>
        <v>22</v>
      </c>
      <c r="E75" s="4" t="str">
        <f>TEXT(H75,"dddd")</f>
        <v>Wednesday</v>
      </c>
      <c r="F75" s="4" t="str">
        <f t="shared" si="2"/>
        <v>November</v>
      </c>
      <c r="G75" s="4"/>
      <c r="H75" s="3">
        <v>45252</v>
      </c>
      <c r="I75" s="4" t="s">
        <v>109</v>
      </c>
      <c r="J75" s="4" t="s">
        <v>29</v>
      </c>
      <c r="K75" s="4">
        <v>62</v>
      </c>
      <c r="L75" s="4" t="str" cm="1">
        <f t="array" ref="L75">_xlfn.IFS(K75&gt;=50, "Senior", K75&gt;=30, "Adult", K75&lt;30, "Young Adult")</f>
        <v>Senior</v>
      </c>
      <c r="M75" s="4" t="s">
        <v>3</v>
      </c>
      <c r="N75" s="4">
        <v>4</v>
      </c>
      <c r="O75" s="5">
        <v>500</v>
      </c>
      <c r="P75">
        <f>N75*O75</f>
        <v>2000</v>
      </c>
      <c r="Q75">
        <f>(P75*$U$4)</f>
        <v>30</v>
      </c>
    </row>
    <row r="76" spans="1:17">
      <c r="A76" s="2">
        <v>75</v>
      </c>
      <c r="B76" s="4">
        <f>YEAR(H76)</f>
        <v>2023</v>
      </c>
      <c r="C76" s="4">
        <f>MONTH(H76)</f>
        <v>7</v>
      </c>
      <c r="D76" s="4">
        <f>DAY(H76)</f>
        <v>6</v>
      </c>
      <c r="E76" s="4" t="str">
        <f>TEXT(H76,"dddd")</f>
        <v>Thursday</v>
      </c>
      <c r="F76" s="4" t="str">
        <f t="shared" si="2"/>
        <v>July</v>
      </c>
      <c r="G76" s="4"/>
      <c r="H76" s="3">
        <v>45113</v>
      </c>
      <c r="I76" s="4" t="s">
        <v>110</v>
      </c>
      <c r="J76" s="4" t="s">
        <v>27</v>
      </c>
      <c r="K76" s="4">
        <v>62</v>
      </c>
      <c r="L76" s="4" t="str" cm="1">
        <f t="array" ref="L76">_xlfn.IFS(K76&gt;=50, "Senior", K76&gt;=30, "Adult", K76&lt;30, "Young Adult")</f>
        <v>Senior</v>
      </c>
      <c r="M76" s="4" t="s">
        <v>3</v>
      </c>
      <c r="N76" s="4">
        <v>4</v>
      </c>
      <c r="O76" s="5">
        <v>50</v>
      </c>
      <c r="P76">
        <f>N76*O76</f>
        <v>200</v>
      </c>
      <c r="Q76">
        <f>(P76*$U$4)</f>
        <v>3</v>
      </c>
    </row>
    <row r="77" spans="1:17">
      <c r="A77" s="2">
        <v>76</v>
      </c>
      <c r="B77" s="4">
        <f>YEAR(H77)</f>
        <v>2023</v>
      </c>
      <c r="C77" s="4">
        <f>MONTH(H77)</f>
        <v>3</v>
      </c>
      <c r="D77" s="4">
        <f>DAY(H77)</f>
        <v>25</v>
      </c>
      <c r="E77" s="4" t="str">
        <f>TEXT(H77,"dddd")</f>
        <v>Saturday</v>
      </c>
      <c r="F77" s="4" t="str">
        <f t="shared" si="2"/>
        <v>March</v>
      </c>
      <c r="G77" s="4"/>
      <c r="H77" s="3">
        <v>45010</v>
      </c>
      <c r="I77" s="4" t="s">
        <v>111</v>
      </c>
      <c r="J77" s="4" t="s">
        <v>29</v>
      </c>
      <c r="K77" s="4">
        <v>61</v>
      </c>
      <c r="L77" s="4" t="str" cm="1">
        <f t="array" ref="L77">_xlfn.IFS(K77&gt;=50, "Senior", K77&gt;=30, "Adult", K77&lt;30, "Young Adult")</f>
        <v>Senior</v>
      </c>
      <c r="M77" s="4" t="s">
        <v>10</v>
      </c>
      <c r="N77" s="4">
        <v>2</v>
      </c>
      <c r="O77" s="5">
        <v>50</v>
      </c>
      <c r="P77">
        <f>N77*O77</f>
        <v>100</v>
      </c>
      <c r="Q77">
        <f>(P77*$U$4)</f>
        <v>1.5</v>
      </c>
    </row>
    <row r="78" spans="1:17">
      <c r="A78" s="2">
        <v>77</v>
      </c>
      <c r="B78" s="4">
        <f>YEAR(H78)</f>
        <v>2023</v>
      </c>
      <c r="C78" s="4">
        <f>MONTH(H78)</f>
        <v>7</v>
      </c>
      <c r="D78" s="4">
        <f>DAY(H78)</f>
        <v>9</v>
      </c>
      <c r="E78" s="4" t="str">
        <f>TEXT(H78,"dddd")</f>
        <v>Sunday</v>
      </c>
      <c r="F78" s="4" t="str">
        <f t="shared" si="2"/>
        <v>July</v>
      </c>
      <c r="G78" s="4"/>
      <c r="H78" s="3">
        <v>45116</v>
      </c>
      <c r="I78" s="4" t="s">
        <v>112</v>
      </c>
      <c r="J78" s="4" t="s">
        <v>29</v>
      </c>
      <c r="K78" s="4">
        <v>61</v>
      </c>
      <c r="L78" s="4" t="str" cm="1">
        <f t="array" ref="L78">_xlfn.IFS(K78&gt;=50, "Senior", K78&gt;=30, "Adult", K78&lt;30, "Young Adult")</f>
        <v>Senior</v>
      </c>
      <c r="M78" s="4" t="s">
        <v>8</v>
      </c>
      <c r="N78" s="4">
        <v>2</v>
      </c>
      <c r="O78" s="5">
        <v>50</v>
      </c>
      <c r="P78">
        <f>N78*O78</f>
        <v>100</v>
      </c>
      <c r="Q78">
        <f>(P78*$U$4)</f>
        <v>1.5</v>
      </c>
    </row>
    <row r="79" spans="1:17">
      <c r="A79" s="2">
        <v>78</v>
      </c>
      <c r="B79" s="4">
        <f>YEAR(H79)</f>
        <v>2023</v>
      </c>
      <c r="C79" s="4">
        <f>MONTH(H79)</f>
        <v>7</v>
      </c>
      <c r="D79" s="4">
        <f>DAY(H79)</f>
        <v>1</v>
      </c>
      <c r="E79" s="4" t="str">
        <f>TEXT(H79,"dddd")</f>
        <v>Saturday</v>
      </c>
      <c r="F79" s="4" t="str">
        <f t="shared" si="2"/>
        <v>July</v>
      </c>
      <c r="G79" s="4"/>
      <c r="H79" s="3">
        <v>45108</v>
      </c>
      <c r="I79" s="4" t="s">
        <v>113</v>
      </c>
      <c r="J79" s="4" t="s">
        <v>29</v>
      </c>
      <c r="K79" s="4">
        <v>61</v>
      </c>
      <c r="L79" s="4" t="str" cm="1">
        <f t="array" ref="L79">_xlfn.IFS(K79&gt;=50, "Senior", K79&gt;=30, "Adult", K79&lt;30, "Young Adult")</f>
        <v>Senior</v>
      </c>
      <c r="M79" s="4" t="s">
        <v>8</v>
      </c>
      <c r="N79" s="4">
        <v>3</v>
      </c>
      <c r="O79" s="5">
        <v>500</v>
      </c>
      <c r="P79">
        <f>N79*O79</f>
        <v>1500</v>
      </c>
      <c r="Q79">
        <f>(P79*$U$4)</f>
        <v>22.5</v>
      </c>
    </row>
    <row r="80" spans="1:17">
      <c r="A80" s="2">
        <v>79</v>
      </c>
      <c r="B80" s="4">
        <f>YEAR(H80)</f>
        <v>2023</v>
      </c>
      <c r="C80" s="4">
        <f>MONTH(H80)</f>
        <v>4</v>
      </c>
      <c r="D80" s="4">
        <f>DAY(H80)</f>
        <v>18</v>
      </c>
      <c r="E80" s="4" t="str">
        <f>TEXT(H80,"dddd")</f>
        <v>Tuesday</v>
      </c>
      <c r="F80" s="4" t="str">
        <f t="shared" si="2"/>
        <v>April</v>
      </c>
      <c r="G80" s="4"/>
      <c r="H80" s="3">
        <v>45034</v>
      </c>
      <c r="I80" s="4" t="s">
        <v>114</v>
      </c>
      <c r="J80" s="4" t="s">
        <v>27</v>
      </c>
      <c r="K80" s="4">
        <v>61</v>
      </c>
      <c r="L80" s="4" t="str" cm="1">
        <f t="array" ref="L80">_xlfn.IFS(K80&gt;=50, "Senior", K80&gt;=30, "Adult", K80&lt;30, "Young Adult")</f>
        <v>Senior</v>
      </c>
      <c r="M80" s="4" t="s">
        <v>3</v>
      </c>
      <c r="N80" s="4">
        <v>1</v>
      </c>
      <c r="O80" s="5">
        <v>300</v>
      </c>
      <c r="P80">
        <f>N80*O80</f>
        <v>300</v>
      </c>
      <c r="Q80">
        <f>(P80*$U$4)</f>
        <v>4.5</v>
      </c>
    </row>
    <row r="81" spans="1:17">
      <c r="A81" s="2">
        <v>80</v>
      </c>
      <c r="B81" s="4">
        <f>YEAR(H81)</f>
        <v>2023</v>
      </c>
      <c r="C81" s="4">
        <f>MONTH(H81)</f>
        <v>12</v>
      </c>
      <c r="D81" s="4">
        <f>DAY(H81)</f>
        <v>10</v>
      </c>
      <c r="E81" s="4" t="str">
        <f>TEXT(H81,"dddd")</f>
        <v>Sunday</v>
      </c>
      <c r="F81" s="4" t="str">
        <f t="shared" si="2"/>
        <v>December</v>
      </c>
      <c r="G81" s="4"/>
      <c r="H81" s="3">
        <v>45270</v>
      </c>
      <c r="I81" s="4" t="s">
        <v>115</v>
      </c>
      <c r="J81" s="4" t="s">
        <v>29</v>
      </c>
      <c r="K81" s="4">
        <v>61</v>
      </c>
      <c r="L81" s="4" t="str" cm="1">
        <f t="array" ref="L81">_xlfn.IFS(K81&gt;=50, "Senior", K81&gt;=30, "Adult", K81&lt;30, "Young Adult")</f>
        <v>Senior</v>
      </c>
      <c r="M81" s="4" t="s">
        <v>8</v>
      </c>
      <c r="N81" s="4">
        <v>2</v>
      </c>
      <c r="O81" s="5">
        <v>30</v>
      </c>
      <c r="P81">
        <f>N81*O81</f>
        <v>60</v>
      </c>
      <c r="Q81">
        <f>(P81*$U$4)</f>
        <v>0.89999999999999991</v>
      </c>
    </row>
    <row r="82" spans="1:17">
      <c r="A82" s="2">
        <v>81</v>
      </c>
      <c r="B82" s="4">
        <f>YEAR(H82)</f>
        <v>2023</v>
      </c>
      <c r="C82" s="4">
        <f>MONTH(H82)</f>
        <v>5</v>
      </c>
      <c r="D82" s="4">
        <f>DAY(H82)</f>
        <v>17</v>
      </c>
      <c r="E82" s="4" t="str">
        <f>TEXT(H82,"dddd")</f>
        <v>Wednesday</v>
      </c>
      <c r="F82" s="4" t="str">
        <f t="shared" si="2"/>
        <v>May</v>
      </c>
      <c r="G82" s="4"/>
      <c r="H82" s="3">
        <v>45063</v>
      </c>
      <c r="I82" s="4" t="s">
        <v>116</v>
      </c>
      <c r="J82" s="4" t="s">
        <v>27</v>
      </c>
      <c r="K82" s="4">
        <v>61</v>
      </c>
      <c r="L82" s="4" t="str" cm="1">
        <f t="array" ref="L82">_xlfn.IFS(K82&gt;=50, "Senior", K82&gt;=30, "Adult", K82&lt;30, "Young Adult")</f>
        <v>Senior</v>
      </c>
      <c r="M82" s="4" t="s">
        <v>10</v>
      </c>
      <c r="N82" s="4">
        <v>1</v>
      </c>
      <c r="O82" s="5">
        <v>50</v>
      </c>
      <c r="P82">
        <f>N82*O82</f>
        <v>50</v>
      </c>
      <c r="Q82">
        <f>(P82*$U$4)</f>
        <v>0.75</v>
      </c>
    </row>
    <row r="83" spans="1:17">
      <c r="A83" s="2">
        <v>82</v>
      </c>
      <c r="B83" s="4">
        <f>YEAR(H83)</f>
        <v>2023</v>
      </c>
      <c r="C83" s="4">
        <f>MONTH(H83)</f>
        <v>12</v>
      </c>
      <c r="D83" s="4">
        <f>DAY(H83)</f>
        <v>26</v>
      </c>
      <c r="E83" s="4" t="str">
        <f>TEXT(H83,"dddd")</f>
        <v>Tuesday</v>
      </c>
      <c r="F83" s="4" t="str">
        <f t="shared" si="2"/>
        <v>December</v>
      </c>
      <c r="G83" s="4"/>
      <c r="H83" s="3">
        <v>45286</v>
      </c>
      <c r="I83" s="4" t="s">
        <v>117</v>
      </c>
      <c r="J83" s="4" t="s">
        <v>29</v>
      </c>
      <c r="K83" s="4">
        <v>61</v>
      </c>
      <c r="L83" s="4" t="str" cm="1">
        <f t="array" ref="L83">_xlfn.IFS(K83&gt;=50, "Senior", K83&gt;=30, "Adult", K83&lt;30, "Young Adult")</f>
        <v>Senior</v>
      </c>
      <c r="M83" s="4" t="s">
        <v>3</v>
      </c>
      <c r="N83" s="4">
        <v>4</v>
      </c>
      <c r="O83" s="5">
        <v>50</v>
      </c>
      <c r="P83">
        <f>N83*O83</f>
        <v>200</v>
      </c>
      <c r="Q83">
        <f>(P83*$U$4)</f>
        <v>3</v>
      </c>
    </row>
    <row r="84" spans="1:17">
      <c r="A84" s="2">
        <v>83</v>
      </c>
      <c r="B84" s="4">
        <f>YEAR(H84)</f>
        <v>2023</v>
      </c>
      <c r="C84" s="4">
        <f>MONTH(H84)</f>
        <v>12</v>
      </c>
      <c r="D84" s="4">
        <f>DAY(H84)</f>
        <v>16</v>
      </c>
      <c r="E84" s="4" t="str">
        <f>TEXT(H84,"dddd")</f>
        <v>Saturday</v>
      </c>
      <c r="F84" s="4" t="str">
        <f t="shared" si="2"/>
        <v>December</v>
      </c>
      <c r="G84" s="4"/>
      <c r="H84" s="3">
        <v>45276</v>
      </c>
      <c r="I84" s="4" t="s">
        <v>118</v>
      </c>
      <c r="J84" s="4" t="s">
        <v>27</v>
      </c>
      <c r="K84" s="4">
        <v>61</v>
      </c>
      <c r="L84" s="4" t="str" cm="1">
        <f t="array" ref="L84">_xlfn.IFS(K84&gt;=50, "Senior", K84&gt;=30, "Adult", K84&lt;30, "Young Adult")</f>
        <v>Senior</v>
      </c>
      <c r="M84" s="4" t="s">
        <v>10</v>
      </c>
      <c r="N84" s="4">
        <v>2</v>
      </c>
      <c r="O84" s="5">
        <v>50</v>
      </c>
      <c r="P84">
        <f>N84*O84</f>
        <v>100</v>
      </c>
      <c r="Q84">
        <f>(P84*$U$4)</f>
        <v>1.5</v>
      </c>
    </row>
    <row r="85" spans="1:17">
      <c r="A85" s="2">
        <v>84</v>
      </c>
      <c r="B85" s="4">
        <f>YEAR(H85)</f>
        <v>2023</v>
      </c>
      <c r="C85" s="4">
        <f>MONTH(H85)</f>
        <v>11</v>
      </c>
      <c r="D85" s="4">
        <f>DAY(H85)</f>
        <v>28</v>
      </c>
      <c r="E85" s="4" t="str">
        <f>TEXT(H85,"dddd")</f>
        <v>Tuesday</v>
      </c>
      <c r="F85" s="4" t="str">
        <f t="shared" si="2"/>
        <v>November</v>
      </c>
      <c r="G85" s="4"/>
      <c r="H85" s="3">
        <v>45258</v>
      </c>
      <c r="I85" s="4" t="s">
        <v>119</v>
      </c>
      <c r="J85" s="4" t="s">
        <v>29</v>
      </c>
      <c r="K85" s="4">
        <v>61</v>
      </c>
      <c r="L85" s="4" t="str" cm="1">
        <f t="array" ref="L85">_xlfn.IFS(K85&gt;=50, "Senior", K85&gt;=30, "Adult", K85&lt;30, "Young Adult")</f>
        <v>Senior</v>
      </c>
      <c r="M85" s="4" t="s">
        <v>10</v>
      </c>
      <c r="N85" s="4">
        <v>3</v>
      </c>
      <c r="O85" s="5">
        <v>30</v>
      </c>
      <c r="P85">
        <f>N85*O85</f>
        <v>90</v>
      </c>
      <c r="Q85">
        <f>(P85*$U$4)</f>
        <v>1.3499999999999999</v>
      </c>
    </row>
    <row r="86" spans="1:17">
      <c r="A86" s="2">
        <v>85</v>
      </c>
      <c r="B86" s="4">
        <f>YEAR(H86)</f>
        <v>2023</v>
      </c>
      <c r="C86" s="4">
        <f>MONTH(H86)</f>
        <v>2</v>
      </c>
      <c r="D86" s="4">
        <f>DAY(H86)</f>
        <v>6</v>
      </c>
      <c r="E86" s="4" t="str">
        <f>TEXT(H86,"dddd")</f>
        <v>Monday</v>
      </c>
      <c r="F86" s="4" t="str">
        <f t="shared" si="2"/>
        <v>February</v>
      </c>
      <c r="G86" s="4"/>
      <c r="H86" s="3">
        <v>44963</v>
      </c>
      <c r="I86" s="4" t="s">
        <v>120</v>
      </c>
      <c r="J86" s="4" t="s">
        <v>27</v>
      </c>
      <c r="K86" s="4">
        <v>61</v>
      </c>
      <c r="L86" s="4" t="str" cm="1">
        <f t="array" ref="L86">_xlfn.IFS(K86&gt;=50, "Senior", K86&gt;=30, "Adult", K86&lt;30, "Young Adult")</f>
        <v>Senior</v>
      </c>
      <c r="M86" s="4" t="s">
        <v>8</v>
      </c>
      <c r="N86" s="4">
        <v>3</v>
      </c>
      <c r="O86" s="5">
        <v>50</v>
      </c>
      <c r="P86">
        <f>N86*O86</f>
        <v>150</v>
      </c>
      <c r="Q86">
        <f>(P86*$U$4)</f>
        <v>2.25</v>
      </c>
    </row>
    <row r="87" spans="1:17">
      <c r="A87" s="2">
        <v>86</v>
      </c>
      <c r="B87" s="4">
        <f>YEAR(H87)</f>
        <v>2023</v>
      </c>
      <c r="C87" s="4">
        <f>MONTH(H87)</f>
        <v>11</v>
      </c>
      <c r="D87" s="4">
        <f>DAY(H87)</f>
        <v>8</v>
      </c>
      <c r="E87" s="4" t="str">
        <f>TEXT(H87,"dddd")</f>
        <v>Wednesday</v>
      </c>
      <c r="F87" s="4" t="str">
        <f t="shared" si="2"/>
        <v>November</v>
      </c>
      <c r="G87" s="4"/>
      <c r="H87" s="3">
        <v>45238</v>
      </c>
      <c r="I87" s="4" t="s">
        <v>121</v>
      </c>
      <c r="J87" s="4" t="s">
        <v>27</v>
      </c>
      <c r="K87" s="4">
        <v>61</v>
      </c>
      <c r="L87" s="4" t="str" cm="1">
        <f t="array" ref="L87">_xlfn.IFS(K87&gt;=50, "Senior", K87&gt;=30, "Adult", K87&lt;30, "Young Adult")</f>
        <v>Senior</v>
      </c>
      <c r="M87" s="4" t="s">
        <v>3</v>
      </c>
      <c r="N87" s="4">
        <v>3</v>
      </c>
      <c r="O87" s="5">
        <v>30</v>
      </c>
      <c r="P87">
        <f>N87*O87</f>
        <v>90</v>
      </c>
      <c r="Q87">
        <f>(P87*$U$4)</f>
        <v>1.3499999999999999</v>
      </c>
    </row>
    <row r="88" spans="1:17">
      <c r="A88" s="2">
        <v>87</v>
      </c>
      <c r="B88" s="4">
        <f>YEAR(H88)</f>
        <v>2023</v>
      </c>
      <c r="C88" s="4">
        <f>MONTH(H88)</f>
        <v>11</v>
      </c>
      <c r="D88" s="4">
        <f>DAY(H88)</f>
        <v>22</v>
      </c>
      <c r="E88" s="4" t="str">
        <f>TEXT(H88,"dddd")</f>
        <v>Wednesday</v>
      </c>
      <c r="F88" s="4" t="str">
        <f t="shared" si="2"/>
        <v>November</v>
      </c>
      <c r="G88" s="4"/>
      <c r="H88" s="3">
        <v>45252</v>
      </c>
      <c r="I88" s="4" t="s">
        <v>122</v>
      </c>
      <c r="J88" s="4" t="s">
        <v>29</v>
      </c>
      <c r="K88" s="4">
        <v>61</v>
      </c>
      <c r="L88" s="4" t="str" cm="1">
        <f t="array" ref="L88">_xlfn.IFS(K88&gt;=50, "Senior", K88&gt;=30, "Adult", K88&lt;30, "Young Adult")</f>
        <v>Senior</v>
      </c>
      <c r="M88" s="4" t="s">
        <v>3</v>
      </c>
      <c r="N88" s="4">
        <v>2</v>
      </c>
      <c r="O88" s="5">
        <v>50</v>
      </c>
      <c r="P88">
        <f>N88*O88</f>
        <v>100</v>
      </c>
      <c r="Q88">
        <f>(P88*$U$4)</f>
        <v>1.5</v>
      </c>
    </row>
    <row r="89" spans="1:17">
      <c r="A89" s="2">
        <v>88</v>
      </c>
      <c r="B89" s="4">
        <f>YEAR(H89)</f>
        <v>2023</v>
      </c>
      <c r="C89" s="4">
        <f>MONTH(H89)</f>
        <v>3</v>
      </c>
      <c r="D89" s="4">
        <f>DAY(H89)</f>
        <v>29</v>
      </c>
      <c r="E89" s="4" t="str">
        <f>TEXT(H89,"dddd")</f>
        <v>Wednesday</v>
      </c>
      <c r="F89" s="4" t="str">
        <f t="shared" si="2"/>
        <v>March</v>
      </c>
      <c r="G89" s="4"/>
      <c r="H89" s="3">
        <v>45014</v>
      </c>
      <c r="I89" s="4" t="s">
        <v>123</v>
      </c>
      <c r="J89" s="4" t="s">
        <v>27</v>
      </c>
      <c r="K89" s="4">
        <v>61</v>
      </c>
      <c r="L89" s="4" t="str" cm="1">
        <f t="array" ref="L89">_xlfn.IFS(K89&gt;=50, "Senior", K89&gt;=30, "Adult", K89&lt;30, "Young Adult")</f>
        <v>Senior</v>
      </c>
      <c r="M89" s="4" t="s">
        <v>8</v>
      </c>
      <c r="N89" s="4">
        <v>1</v>
      </c>
      <c r="O89" s="5">
        <v>500</v>
      </c>
      <c r="P89">
        <f>N89*O89</f>
        <v>500</v>
      </c>
      <c r="Q89">
        <f>(P89*$U$4)</f>
        <v>7.5</v>
      </c>
    </row>
    <row r="90" spans="1:17">
      <c r="A90" s="2">
        <v>89</v>
      </c>
      <c r="B90" s="4">
        <f>YEAR(H90)</f>
        <v>2023</v>
      </c>
      <c r="C90" s="4">
        <f>MONTH(H90)</f>
        <v>10</v>
      </c>
      <c r="D90" s="4">
        <f>DAY(H90)</f>
        <v>1</v>
      </c>
      <c r="E90" s="4" t="str">
        <f>TEXT(H90,"dddd")</f>
        <v>Sunday</v>
      </c>
      <c r="F90" s="4" t="str">
        <f t="shared" si="2"/>
        <v>October</v>
      </c>
      <c r="G90" s="4"/>
      <c r="H90" s="3">
        <v>45200</v>
      </c>
      <c r="I90" s="4" t="s">
        <v>124</v>
      </c>
      <c r="J90" s="4" t="s">
        <v>29</v>
      </c>
      <c r="K90" s="4">
        <v>61</v>
      </c>
      <c r="L90" s="4" t="str" cm="1">
        <f t="array" ref="L90">_xlfn.IFS(K90&gt;=50, "Senior", K90&gt;=30, "Adult", K90&lt;30, "Young Adult")</f>
        <v>Senior</v>
      </c>
      <c r="M90" s="4" t="s">
        <v>10</v>
      </c>
      <c r="N90" s="4">
        <v>4</v>
      </c>
      <c r="O90" s="5">
        <v>500</v>
      </c>
      <c r="P90">
        <f>N90*O90</f>
        <v>2000</v>
      </c>
      <c r="Q90">
        <f>(P90*$U$4)</f>
        <v>30</v>
      </c>
    </row>
    <row r="91" spans="1:17">
      <c r="A91" s="2">
        <v>90</v>
      </c>
      <c r="B91" s="4">
        <f>YEAR(H91)</f>
        <v>2023</v>
      </c>
      <c r="C91" s="4">
        <f>MONTH(H91)</f>
        <v>5</v>
      </c>
      <c r="D91" s="4">
        <f>DAY(H91)</f>
        <v>6</v>
      </c>
      <c r="E91" s="4" t="str">
        <f>TEXT(H91,"dddd")</f>
        <v>Saturday</v>
      </c>
      <c r="F91" s="4" t="str">
        <f t="shared" si="2"/>
        <v>May</v>
      </c>
      <c r="G91" s="4"/>
      <c r="H91" s="3">
        <v>45052</v>
      </c>
      <c r="I91" s="4" t="s">
        <v>125</v>
      </c>
      <c r="J91" s="4" t="s">
        <v>29</v>
      </c>
      <c r="K91" s="4">
        <v>61</v>
      </c>
      <c r="L91" s="4" t="str" cm="1">
        <f t="array" ref="L91">_xlfn.IFS(K91&gt;=50, "Senior", K91&gt;=30, "Adult", K91&lt;30, "Young Adult")</f>
        <v>Senior</v>
      </c>
      <c r="M91" s="4" t="s">
        <v>10</v>
      </c>
      <c r="N91" s="4">
        <v>1</v>
      </c>
      <c r="O91" s="5">
        <v>30</v>
      </c>
      <c r="P91">
        <f>N91*O91</f>
        <v>30</v>
      </c>
      <c r="Q91">
        <f>(P91*$U$4)</f>
        <v>0.44999999999999996</v>
      </c>
    </row>
    <row r="92" spans="1:17">
      <c r="A92" s="2">
        <v>91</v>
      </c>
      <c r="B92" s="4">
        <f>YEAR(H92)</f>
        <v>2023</v>
      </c>
      <c r="C92" s="4">
        <f>MONTH(H92)</f>
        <v>3</v>
      </c>
      <c r="D92" s="4">
        <f>DAY(H92)</f>
        <v>25</v>
      </c>
      <c r="E92" s="4" t="str">
        <f>TEXT(H92,"dddd")</f>
        <v>Saturday</v>
      </c>
      <c r="F92" s="4" t="str">
        <f t="shared" si="2"/>
        <v>March</v>
      </c>
      <c r="G92" s="4"/>
      <c r="H92" s="3">
        <v>45010</v>
      </c>
      <c r="I92" s="4" t="s">
        <v>126</v>
      </c>
      <c r="J92" s="4" t="s">
        <v>29</v>
      </c>
      <c r="K92" s="4">
        <v>61</v>
      </c>
      <c r="L92" s="4" t="str" cm="1">
        <f t="array" ref="L92">_xlfn.IFS(K92&gt;=50, "Senior", K92&gt;=30, "Adult", K92&lt;30, "Young Adult")</f>
        <v>Senior</v>
      </c>
      <c r="M92" s="4" t="s">
        <v>10</v>
      </c>
      <c r="N92" s="4">
        <v>1</v>
      </c>
      <c r="O92" s="5">
        <v>500</v>
      </c>
      <c r="P92">
        <f>N92*O92</f>
        <v>500</v>
      </c>
      <c r="Q92">
        <f>(P92*$U$4)</f>
        <v>7.5</v>
      </c>
    </row>
    <row r="93" spans="1:17">
      <c r="A93" s="2">
        <v>92</v>
      </c>
      <c r="B93" s="4">
        <f>YEAR(H93)</f>
        <v>2023</v>
      </c>
      <c r="C93" s="4">
        <f>MONTH(H93)</f>
        <v>8</v>
      </c>
      <c r="D93" s="4">
        <f>DAY(H93)</f>
        <v>25</v>
      </c>
      <c r="E93" s="4" t="str">
        <f>TEXT(H93,"dddd")</f>
        <v>Friday</v>
      </c>
      <c r="F93" s="4" t="str">
        <f t="shared" si="2"/>
        <v>August</v>
      </c>
      <c r="G93" s="4"/>
      <c r="H93" s="3">
        <v>45163</v>
      </c>
      <c r="I93" s="4" t="s">
        <v>127</v>
      </c>
      <c r="J93" s="4" t="s">
        <v>29</v>
      </c>
      <c r="K93" s="4">
        <v>61</v>
      </c>
      <c r="L93" s="4" t="str" cm="1">
        <f t="array" ref="L93">_xlfn.IFS(K93&gt;=50, "Senior", K93&gt;=30, "Adult", K93&lt;30, "Young Adult")</f>
        <v>Senior</v>
      </c>
      <c r="M93" s="4" t="s">
        <v>10</v>
      </c>
      <c r="N93" s="4">
        <v>4</v>
      </c>
      <c r="O93" s="5">
        <v>30</v>
      </c>
      <c r="P93">
        <f>N93*O93</f>
        <v>120</v>
      </c>
      <c r="Q93">
        <f>(P93*$U$4)</f>
        <v>1.7999999999999998</v>
      </c>
    </row>
    <row r="94" spans="1:17">
      <c r="A94" s="2">
        <v>93</v>
      </c>
      <c r="B94" s="4">
        <f>YEAR(H94)</f>
        <v>2023</v>
      </c>
      <c r="C94" s="4">
        <f>MONTH(H94)</f>
        <v>7</v>
      </c>
      <c r="D94" s="4">
        <f>DAY(H94)</f>
        <v>14</v>
      </c>
      <c r="E94" s="4" t="str">
        <f>TEXT(H94,"dddd")</f>
        <v>Friday</v>
      </c>
      <c r="F94" s="4" t="str">
        <f t="shared" si="2"/>
        <v>July</v>
      </c>
      <c r="G94" s="4"/>
      <c r="H94" s="3">
        <v>45121</v>
      </c>
      <c r="I94" s="4" t="s">
        <v>128</v>
      </c>
      <c r="J94" s="4" t="s">
        <v>29</v>
      </c>
      <c r="K94" s="4">
        <v>61</v>
      </c>
      <c r="L94" s="4" t="str" cm="1">
        <f t="array" ref="L94">_xlfn.IFS(K94&gt;=50, "Senior", K94&gt;=30, "Adult", K94&lt;30, "Young Adult")</f>
        <v>Senior</v>
      </c>
      <c r="M94" s="4" t="s">
        <v>3</v>
      </c>
      <c r="N94" s="4">
        <v>4</v>
      </c>
      <c r="O94" s="5">
        <v>500</v>
      </c>
      <c r="P94">
        <f>N94*O94</f>
        <v>2000</v>
      </c>
      <c r="Q94">
        <f>(P94*$U$4)</f>
        <v>30</v>
      </c>
    </row>
    <row r="95" spans="1:17">
      <c r="A95" s="2">
        <v>94</v>
      </c>
      <c r="B95" s="4">
        <f>YEAR(H95)</f>
        <v>2023</v>
      </c>
      <c r="C95" s="4">
        <f>MONTH(H95)</f>
        <v>5</v>
      </c>
      <c r="D95" s="4">
        <f>DAY(H95)</f>
        <v>19</v>
      </c>
      <c r="E95" s="4" t="str">
        <f>TEXT(H95,"dddd")</f>
        <v>Friday</v>
      </c>
      <c r="F95" s="4" t="str">
        <f t="shared" si="2"/>
        <v>May</v>
      </c>
      <c r="G95" s="4"/>
      <c r="H95" s="3">
        <v>45065</v>
      </c>
      <c r="I95" s="4" t="s">
        <v>129</v>
      </c>
      <c r="J95" s="4" t="s">
        <v>29</v>
      </c>
      <c r="K95" s="4">
        <v>60</v>
      </c>
      <c r="L95" s="4" t="str" cm="1">
        <f t="array" ref="L95">_xlfn.IFS(K95&gt;=50, "Senior", K95&gt;=30, "Adult", K95&lt;30, "Young Adult")</f>
        <v>Senior</v>
      </c>
      <c r="M95" s="4" t="s">
        <v>3</v>
      </c>
      <c r="N95" s="4">
        <v>2</v>
      </c>
      <c r="O95" s="5">
        <v>500</v>
      </c>
      <c r="P95">
        <f>N95*O95</f>
        <v>1000</v>
      </c>
      <c r="Q95">
        <f>(P95*$U$4)</f>
        <v>15</v>
      </c>
    </row>
    <row r="96" spans="1:17">
      <c r="A96" s="2">
        <v>95</v>
      </c>
      <c r="B96" s="4">
        <f>YEAR(H96)</f>
        <v>2023</v>
      </c>
      <c r="C96" s="4">
        <f>MONTH(H96)</f>
        <v>11</v>
      </c>
      <c r="D96" s="4">
        <f>DAY(H96)</f>
        <v>24</v>
      </c>
      <c r="E96" s="4" t="str">
        <f>TEXT(H96,"dddd")</f>
        <v>Friday</v>
      </c>
      <c r="F96" s="4" t="str">
        <f t="shared" si="2"/>
        <v>November</v>
      </c>
      <c r="G96" s="4"/>
      <c r="H96" s="3">
        <v>45254</v>
      </c>
      <c r="I96" s="4" t="s">
        <v>130</v>
      </c>
      <c r="J96" s="4" t="s">
        <v>29</v>
      </c>
      <c r="K96" s="4">
        <v>60</v>
      </c>
      <c r="L96" s="4" t="str" cm="1">
        <f t="array" ref="L96">_xlfn.IFS(K96&gt;=50, "Senior", K96&gt;=30, "Adult", K96&lt;30, "Young Adult")</f>
        <v>Senior</v>
      </c>
      <c r="M96" s="4" t="s">
        <v>8</v>
      </c>
      <c r="N96" s="4">
        <v>2</v>
      </c>
      <c r="O96" s="5">
        <v>30</v>
      </c>
      <c r="P96">
        <f>N96*O96</f>
        <v>60</v>
      </c>
      <c r="Q96">
        <f>(P96*$U$4)</f>
        <v>0.89999999999999991</v>
      </c>
    </row>
    <row r="97" spans="1:17">
      <c r="A97" s="2">
        <v>96</v>
      </c>
      <c r="B97" s="4">
        <f>YEAR(H97)</f>
        <v>2023</v>
      </c>
      <c r="C97" s="4">
        <f>MONTH(H97)</f>
        <v>12</v>
      </c>
      <c r="D97" s="4">
        <f>DAY(H97)</f>
        <v>19</v>
      </c>
      <c r="E97" s="4" t="str">
        <f>TEXT(H97,"dddd")</f>
        <v>Tuesday</v>
      </c>
      <c r="F97" s="4" t="str">
        <f t="shared" si="2"/>
        <v>December</v>
      </c>
      <c r="G97" s="4"/>
      <c r="H97" s="3">
        <v>45279</v>
      </c>
      <c r="I97" s="4" t="s">
        <v>131</v>
      </c>
      <c r="J97" s="4" t="s">
        <v>29</v>
      </c>
      <c r="K97" s="4">
        <v>60</v>
      </c>
      <c r="L97" s="4" t="str" cm="1">
        <f t="array" ref="L97">_xlfn.IFS(K97&gt;=50, "Senior", K97&gt;=30, "Adult", K97&lt;30, "Young Adult")</f>
        <v>Senior</v>
      </c>
      <c r="M97" s="4" t="s">
        <v>8</v>
      </c>
      <c r="N97" s="4">
        <v>2</v>
      </c>
      <c r="O97" s="5">
        <v>300</v>
      </c>
      <c r="P97">
        <f>N97*O97</f>
        <v>600</v>
      </c>
      <c r="Q97">
        <f>(P97*$U$4)</f>
        <v>9</v>
      </c>
    </row>
    <row r="98" spans="1:17">
      <c r="A98" s="2">
        <v>97</v>
      </c>
      <c r="B98" s="4">
        <f>YEAR(H98)</f>
        <v>2023</v>
      </c>
      <c r="C98" s="4">
        <f>MONTH(H98)</f>
        <v>10</v>
      </c>
      <c r="D98" s="4">
        <f>DAY(H98)</f>
        <v>13</v>
      </c>
      <c r="E98" s="4" t="str">
        <f>TEXT(H98,"dddd")</f>
        <v>Friday</v>
      </c>
      <c r="F98" s="4" t="str">
        <f t="shared" si="2"/>
        <v>October</v>
      </c>
      <c r="G98" s="4"/>
      <c r="H98" s="3">
        <v>45212</v>
      </c>
      <c r="I98" s="4" t="s">
        <v>132</v>
      </c>
      <c r="J98" s="4" t="s">
        <v>29</v>
      </c>
      <c r="K98" s="4">
        <v>60</v>
      </c>
      <c r="L98" s="4" t="str" cm="1">
        <f t="array" ref="L98">_xlfn.IFS(K98&gt;=50, "Senior", K98&gt;=30, "Adult", K98&lt;30, "Young Adult")</f>
        <v>Senior</v>
      </c>
      <c r="M98" s="4" t="s">
        <v>3</v>
      </c>
      <c r="N98" s="4">
        <v>2</v>
      </c>
      <c r="O98" s="5">
        <v>500</v>
      </c>
      <c r="P98">
        <f>N98*O98</f>
        <v>1000</v>
      </c>
      <c r="Q98">
        <f>(P98*$U$4)</f>
        <v>15</v>
      </c>
    </row>
    <row r="99" spans="1:17">
      <c r="A99" s="2">
        <v>98</v>
      </c>
      <c r="B99" s="4">
        <f>YEAR(H99)</f>
        <v>2023</v>
      </c>
      <c r="C99" s="4">
        <f>MONTH(H99)</f>
        <v>4</v>
      </c>
      <c r="D99" s="4">
        <f>DAY(H99)</f>
        <v>23</v>
      </c>
      <c r="E99" s="4" t="str">
        <f>TEXT(H99,"dddd")</f>
        <v>Sunday</v>
      </c>
      <c r="F99" s="4" t="str">
        <f t="shared" si="2"/>
        <v>April</v>
      </c>
      <c r="G99" s="4"/>
      <c r="H99" s="3">
        <v>45039</v>
      </c>
      <c r="I99" s="4" t="s">
        <v>133</v>
      </c>
      <c r="J99" s="4" t="s">
        <v>29</v>
      </c>
      <c r="K99" s="4">
        <v>60</v>
      </c>
      <c r="L99" s="4" t="str" cm="1">
        <f t="array" ref="L99">_xlfn.IFS(K99&gt;=50, "Senior", K99&gt;=30, "Adult", K99&lt;30, "Young Adult")</f>
        <v>Senior</v>
      </c>
      <c r="M99" s="4" t="s">
        <v>3</v>
      </c>
      <c r="N99" s="4">
        <v>2</v>
      </c>
      <c r="O99" s="5">
        <v>50</v>
      </c>
      <c r="P99">
        <f>N99*O99</f>
        <v>100</v>
      </c>
      <c r="Q99">
        <f>(P99*$U$4)</f>
        <v>1.5</v>
      </c>
    </row>
    <row r="100" spans="1:17">
      <c r="A100" s="2">
        <v>99</v>
      </c>
      <c r="B100" s="4">
        <f>YEAR(H100)</f>
        <v>2023</v>
      </c>
      <c r="C100" s="4">
        <f>MONTH(H100)</f>
        <v>12</v>
      </c>
      <c r="D100" s="4">
        <f>DAY(H100)</f>
        <v>17</v>
      </c>
      <c r="E100" s="4" t="str">
        <f>TEXT(H100,"dddd")</f>
        <v>Sunday</v>
      </c>
      <c r="F100" s="4" t="str">
        <f t="shared" si="2"/>
        <v>December</v>
      </c>
      <c r="G100" s="4"/>
      <c r="H100" s="3">
        <v>45277</v>
      </c>
      <c r="I100" s="4" t="s">
        <v>134</v>
      </c>
      <c r="J100" s="4" t="s">
        <v>29</v>
      </c>
      <c r="K100" s="4">
        <v>60</v>
      </c>
      <c r="L100" s="4" t="str" cm="1">
        <f t="array" ref="L100">_xlfn.IFS(K100&gt;=50, "Senior", K100&gt;=30, "Adult", K100&lt;30, "Young Adult")</f>
        <v>Senior</v>
      </c>
      <c r="M100" s="4" t="s">
        <v>10</v>
      </c>
      <c r="N100" s="4">
        <v>4</v>
      </c>
      <c r="O100" s="5">
        <v>300</v>
      </c>
      <c r="P100">
        <f>N100*O100</f>
        <v>1200</v>
      </c>
      <c r="Q100">
        <f>(P100*$U$4)</f>
        <v>18</v>
      </c>
    </row>
    <row r="101" spans="1:17">
      <c r="A101" s="2">
        <v>100</v>
      </c>
      <c r="B101" s="4">
        <f>YEAR(H101)</f>
        <v>2023</v>
      </c>
      <c r="C101" s="4">
        <f>MONTH(H101)</f>
        <v>6</v>
      </c>
      <c r="D101" s="4">
        <f>DAY(H101)</f>
        <v>16</v>
      </c>
      <c r="E101" s="4" t="str">
        <f>TEXT(H101,"dddd")</f>
        <v>Friday</v>
      </c>
      <c r="F101" s="4" t="str">
        <f t="shared" si="2"/>
        <v>June</v>
      </c>
      <c r="G101" s="4"/>
      <c r="H101" s="3">
        <v>45093</v>
      </c>
      <c r="I101" s="4" t="s">
        <v>135</v>
      </c>
      <c r="J101" s="4" t="s">
        <v>27</v>
      </c>
      <c r="K101" s="4">
        <v>60</v>
      </c>
      <c r="L101" s="4" t="str" cm="1">
        <f t="array" ref="L101">_xlfn.IFS(K101&gt;=50, "Senior", K101&gt;=30, "Adult", K101&lt;30, "Young Adult")</f>
        <v>Senior</v>
      </c>
      <c r="M101" s="4" t="s">
        <v>10</v>
      </c>
      <c r="N101" s="4">
        <v>1</v>
      </c>
      <c r="O101" s="5">
        <v>30</v>
      </c>
      <c r="P101">
        <f>N101*O101</f>
        <v>30</v>
      </c>
      <c r="Q101">
        <f>(P101*$U$4)</f>
        <v>0.44999999999999996</v>
      </c>
    </row>
    <row r="102" spans="1:17">
      <c r="A102" s="2">
        <v>101</v>
      </c>
      <c r="B102" s="4">
        <f>YEAR(H102)</f>
        <v>2023</v>
      </c>
      <c r="C102" s="4">
        <f>MONTH(H102)</f>
        <v>1</v>
      </c>
      <c r="D102" s="4">
        <f>DAY(H102)</f>
        <v>29</v>
      </c>
      <c r="E102" s="4" t="str">
        <f>TEXT(H102,"dddd")</f>
        <v>Sunday</v>
      </c>
      <c r="F102" s="4" t="str">
        <f t="shared" si="2"/>
        <v>January</v>
      </c>
      <c r="G102" s="4"/>
      <c r="H102" s="3">
        <v>44955</v>
      </c>
      <c r="I102" s="4" t="s">
        <v>136</v>
      </c>
      <c r="J102" s="4" t="s">
        <v>27</v>
      </c>
      <c r="K102" s="4">
        <v>60</v>
      </c>
      <c r="L102" s="4" t="str" cm="1">
        <f t="array" ref="L102">_xlfn.IFS(K102&gt;=50, "Senior", K102&gt;=30, "Adult", K102&lt;30, "Young Adult")</f>
        <v>Senior</v>
      </c>
      <c r="M102" s="4" t="s">
        <v>8</v>
      </c>
      <c r="N102" s="4">
        <v>2</v>
      </c>
      <c r="O102" s="5">
        <v>300</v>
      </c>
      <c r="P102">
        <f>N102*O102</f>
        <v>600</v>
      </c>
      <c r="Q102">
        <f>(P102*$U$4)</f>
        <v>9</v>
      </c>
    </row>
    <row r="103" spans="1:17">
      <c r="A103" s="2">
        <v>102</v>
      </c>
      <c r="B103" s="4">
        <f>YEAR(H103)</f>
        <v>2023</v>
      </c>
      <c r="C103" s="4">
        <f>MONTH(H103)</f>
        <v>4</v>
      </c>
      <c r="D103" s="4">
        <f>DAY(H103)</f>
        <v>28</v>
      </c>
      <c r="E103" s="4" t="str">
        <f>TEXT(H103,"dddd")</f>
        <v>Friday</v>
      </c>
      <c r="F103" s="4" t="str">
        <f t="shared" si="2"/>
        <v>April</v>
      </c>
      <c r="G103" s="4"/>
      <c r="H103" s="3">
        <v>45044</v>
      </c>
      <c r="I103" s="4" t="s">
        <v>137</v>
      </c>
      <c r="J103" s="4" t="s">
        <v>29</v>
      </c>
      <c r="K103" s="4">
        <v>60</v>
      </c>
      <c r="L103" s="4" t="str" cm="1">
        <f t="array" ref="L103">_xlfn.IFS(K103&gt;=50, "Senior", K103&gt;=30, "Adult", K103&lt;30, "Young Adult")</f>
        <v>Senior</v>
      </c>
      <c r="M103" s="4" t="s">
        <v>3</v>
      </c>
      <c r="N103" s="4">
        <v>2</v>
      </c>
      <c r="O103" s="5">
        <v>25</v>
      </c>
      <c r="P103">
        <f>N103*O103</f>
        <v>50</v>
      </c>
      <c r="Q103">
        <f>(P103*$U$4)</f>
        <v>0.75</v>
      </c>
    </row>
    <row r="104" spans="1:17">
      <c r="A104" s="2">
        <v>103</v>
      </c>
      <c r="B104" s="4">
        <f>YEAR(H104)</f>
        <v>2023</v>
      </c>
      <c r="C104" s="4">
        <f>MONTH(H104)</f>
        <v>1</v>
      </c>
      <c r="D104" s="4">
        <f>DAY(H104)</f>
        <v>17</v>
      </c>
      <c r="E104" s="4" t="str">
        <f>TEXT(H104,"dddd")</f>
        <v>Tuesday</v>
      </c>
      <c r="F104" s="4" t="str">
        <f t="shared" si="2"/>
        <v>January</v>
      </c>
      <c r="G104" s="4"/>
      <c r="H104" s="3">
        <v>44943</v>
      </c>
      <c r="I104" s="4" t="s">
        <v>138</v>
      </c>
      <c r="J104" s="4" t="s">
        <v>29</v>
      </c>
      <c r="K104" s="4">
        <v>60</v>
      </c>
      <c r="L104" s="4" t="str" cm="1">
        <f t="array" ref="L104">_xlfn.IFS(K104&gt;=50, "Senior", K104&gt;=30, "Adult", K104&lt;30, "Young Adult")</f>
        <v>Senior</v>
      </c>
      <c r="M104" s="4" t="s">
        <v>8</v>
      </c>
      <c r="N104" s="4">
        <v>1</v>
      </c>
      <c r="O104" s="5">
        <v>25</v>
      </c>
      <c r="P104">
        <f>N104*O104</f>
        <v>25</v>
      </c>
      <c r="Q104">
        <f>(P104*$U$4)</f>
        <v>0.375</v>
      </c>
    </row>
    <row r="105" spans="1:17">
      <c r="A105" s="2">
        <v>104</v>
      </c>
      <c r="B105" s="4">
        <f>YEAR(H105)</f>
        <v>2023</v>
      </c>
      <c r="C105" s="4">
        <f>MONTH(H105)</f>
        <v>6</v>
      </c>
      <c r="D105" s="4">
        <f>DAY(H105)</f>
        <v>11</v>
      </c>
      <c r="E105" s="4" t="str">
        <f>TEXT(H105,"dddd")</f>
        <v>Sunday</v>
      </c>
      <c r="F105" s="4" t="str">
        <f t="shared" si="2"/>
        <v>June</v>
      </c>
      <c r="G105" s="4"/>
      <c r="H105" s="3">
        <v>45088</v>
      </c>
      <c r="I105" s="4" t="s">
        <v>139</v>
      </c>
      <c r="J105" s="4" t="s">
        <v>29</v>
      </c>
      <c r="K105" s="4">
        <v>60</v>
      </c>
      <c r="L105" s="4" t="str" cm="1">
        <f t="array" ref="L105">_xlfn.IFS(K105&gt;=50, "Senior", K105&gt;=30, "Adult", K105&lt;30, "Young Adult")</f>
        <v>Senior</v>
      </c>
      <c r="M105" s="4" t="s">
        <v>3</v>
      </c>
      <c r="N105" s="4">
        <v>2</v>
      </c>
      <c r="O105" s="5">
        <v>500</v>
      </c>
      <c r="P105">
        <f>N105*O105</f>
        <v>1000</v>
      </c>
      <c r="Q105">
        <f>(P105*$U$4)</f>
        <v>15</v>
      </c>
    </row>
    <row r="106" spans="1:17">
      <c r="A106" s="2">
        <v>105</v>
      </c>
      <c r="B106" s="4">
        <f>YEAR(H106)</f>
        <v>2023</v>
      </c>
      <c r="C106" s="4">
        <f>MONTH(H106)</f>
        <v>7</v>
      </c>
      <c r="D106" s="4">
        <f>DAY(H106)</f>
        <v>25</v>
      </c>
      <c r="E106" s="4" t="str">
        <f>TEXT(H106,"dddd")</f>
        <v>Tuesday</v>
      </c>
      <c r="F106" s="4" t="str">
        <f t="shared" si="2"/>
        <v>July</v>
      </c>
      <c r="G106" s="4"/>
      <c r="H106" s="3">
        <v>45132</v>
      </c>
      <c r="I106" s="4" t="s">
        <v>140</v>
      </c>
      <c r="J106" s="4" t="s">
        <v>29</v>
      </c>
      <c r="K106" s="4">
        <v>60</v>
      </c>
      <c r="L106" s="4" t="str" cm="1">
        <f t="array" ref="L106">_xlfn.IFS(K106&gt;=50, "Senior", K106&gt;=30, "Adult", K106&lt;30, "Young Adult")</f>
        <v>Senior</v>
      </c>
      <c r="M106" s="4" t="s">
        <v>10</v>
      </c>
      <c r="N106" s="4">
        <v>1</v>
      </c>
      <c r="O106" s="5">
        <v>500</v>
      </c>
      <c r="P106">
        <f>N106*O106</f>
        <v>500</v>
      </c>
      <c r="Q106">
        <f>(P106*$U$4)</f>
        <v>7.5</v>
      </c>
    </row>
    <row r="107" spans="1:17">
      <c r="A107" s="2">
        <v>106</v>
      </c>
      <c r="B107" s="4">
        <f>YEAR(H107)</f>
        <v>2023</v>
      </c>
      <c r="C107" s="4">
        <f>MONTH(H107)</f>
        <v>5</v>
      </c>
      <c r="D107" s="4">
        <f>DAY(H107)</f>
        <v>18</v>
      </c>
      <c r="E107" s="4" t="str">
        <f>TEXT(H107,"dddd")</f>
        <v>Thursday</v>
      </c>
      <c r="F107" s="4" t="str">
        <f t="shared" si="2"/>
        <v>May</v>
      </c>
      <c r="G107" s="4"/>
      <c r="H107" s="3">
        <v>45064</v>
      </c>
      <c r="I107" s="4" t="s">
        <v>141</v>
      </c>
      <c r="J107" s="4" t="s">
        <v>29</v>
      </c>
      <c r="K107" s="4">
        <v>60</v>
      </c>
      <c r="L107" s="4" t="str" cm="1">
        <f t="array" ref="L107">_xlfn.IFS(K107&gt;=50, "Senior", K107&gt;=30, "Adult", K107&lt;30, "Young Adult")</f>
        <v>Senior</v>
      </c>
      <c r="M107" s="4" t="s">
        <v>8</v>
      </c>
      <c r="N107" s="4">
        <v>1</v>
      </c>
      <c r="O107" s="5">
        <v>50</v>
      </c>
      <c r="P107">
        <f>N107*O107</f>
        <v>50</v>
      </c>
      <c r="Q107">
        <f>(P107*$U$4)</f>
        <v>0.75</v>
      </c>
    </row>
    <row r="108" spans="1:17">
      <c r="A108" s="2">
        <v>107</v>
      </c>
      <c r="B108" s="4">
        <f>YEAR(H108)</f>
        <v>2023</v>
      </c>
      <c r="C108" s="4">
        <f>MONTH(H108)</f>
        <v>2</v>
      </c>
      <c r="D108" s="4">
        <f>DAY(H108)</f>
        <v>3</v>
      </c>
      <c r="E108" s="4" t="str">
        <f>TEXT(H108,"dddd")</f>
        <v>Friday</v>
      </c>
      <c r="F108" s="4" t="str">
        <f t="shared" si="2"/>
        <v>February</v>
      </c>
      <c r="G108" s="4"/>
      <c r="H108" s="3">
        <v>44960</v>
      </c>
      <c r="I108" s="4" t="s">
        <v>142</v>
      </c>
      <c r="J108" s="4" t="s">
        <v>29</v>
      </c>
      <c r="K108" s="4">
        <v>60</v>
      </c>
      <c r="L108" s="4" t="str" cm="1">
        <f t="array" ref="L108">_xlfn.IFS(K108&gt;=50, "Senior", K108&gt;=30, "Adult", K108&lt;30, "Young Adult")</f>
        <v>Senior</v>
      </c>
      <c r="M108" s="4" t="s">
        <v>8</v>
      </c>
      <c r="N108" s="4">
        <v>4</v>
      </c>
      <c r="O108" s="5">
        <v>300</v>
      </c>
      <c r="P108">
        <f>N108*O108</f>
        <v>1200</v>
      </c>
      <c r="Q108">
        <f>(P108*$U$4)</f>
        <v>18</v>
      </c>
    </row>
    <row r="109" spans="1:17">
      <c r="A109" s="2">
        <v>108</v>
      </c>
      <c r="B109" s="4">
        <f>YEAR(H109)</f>
        <v>2023</v>
      </c>
      <c r="C109" s="4">
        <f>MONTH(H109)</f>
        <v>4</v>
      </c>
      <c r="D109" s="4">
        <f>DAY(H109)</f>
        <v>19</v>
      </c>
      <c r="E109" s="4" t="str">
        <f>TEXT(H109,"dddd")</f>
        <v>Wednesday</v>
      </c>
      <c r="F109" s="4" t="str">
        <f t="shared" si="2"/>
        <v>April</v>
      </c>
      <c r="G109" s="4"/>
      <c r="H109" s="3">
        <v>45035</v>
      </c>
      <c r="I109" s="4" t="s">
        <v>143</v>
      </c>
      <c r="J109" s="4" t="s">
        <v>29</v>
      </c>
      <c r="K109" s="4">
        <v>60</v>
      </c>
      <c r="L109" s="4" t="str" cm="1">
        <f t="array" ref="L109">_xlfn.IFS(K109&gt;=50, "Senior", K109&gt;=30, "Adult", K109&lt;30, "Young Adult")</f>
        <v>Senior</v>
      </c>
      <c r="M109" s="4" t="s">
        <v>3</v>
      </c>
      <c r="N109" s="4">
        <v>3</v>
      </c>
      <c r="O109" s="5">
        <v>25</v>
      </c>
      <c r="P109">
        <f>N109*O109</f>
        <v>75</v>
      </c>
      <c r="Q109">
        <f>(P109*$U$4)</f>
        <v>1.125</v>
      </c>
    </row>
    <row r="110" spans="1:17">
      <c r="A110" s="2">
        <v>109</v>
      </c>
      <c r="B110" s="4">
        <f>YEAR(H110)</f>
        <v>2023</v>
      </c>
      <c r="C110" s="4">
        <f>MONTH(H110)</f>
        <v>10</v>
      </c>
      <c r="D110" s="4">
        <f>DAY(H110)</f>
        <v>18</v>
      </c>
      <c r="E110" s="4" t="str">
        <f>TEXT(H110,"dddd")</f>
        <v>Wednesday</v>
      </c>
      <c r="F110" s="4" t="str">
        <f t="shared" si="2"/>
        <v>October</v>
      </c>
      <c r="G110" s="4"/>
      <c r="H110" s="3">
        <v>45217</v>
      </c>
      <c r="I110" s="4" t="s">
        <v>144</v>
      </c>
      <c r="J110" s="4" t="s">
        <v>29</v>
      </c>
      <c r="K110" s="4">
        <v>60</v>
      </c>
      <c r="L110" s="4" t="str" cm="1">
        <f t="array" ref="L110">_xlfn.IFS(K110&gt;=50, "Senior", K110&gt;=30, "Adult", K110&lt;30, "Young Adult")</f>
        <v>Senior</v>
      </c>
      <c r="M110" s="4" t="s">
        <v>10</v>
      </c>
      <c r="N110" s="4">
        <v>4</v>
      </c>
      <c r="O110" s="5">
        <v>500</v>
      </c>
      <c r="P110">
        <f>N110*O110</f>
        <v>2000</v>
      </c>
      <c r="Q110">
        <f>(P110*$U$4)</f>
        <v>30</v>
      </c>
    </row>
    <row r="111" spans="1:17">
      <c r="A111" s="2">
        <v>110</v>
      </c>
      <c r="B111" s="4">
        <f>YEAR(H111)</f>
        <v>2023</v>
      </c>
      <c r="C111" s="4">
        <f>MONTH(H111)</f>
        <v>6</v>
      </c>
      <c r="D111" s="4">
        <f>DAY(H111)</f>
        <v>11</v>
      </c>
      <c r="E111" s="4" t="str">
        <f>TEXT(H111,"dddd")</f>
        <v>Sunday</v>
      </c>
      <c r="F111" s="4" t="str">
        <f t="shared" si="2"/>
        <v>June</v>
      </c>
      <c r="G111" s="4"/>
      <c r="H111" s="3">
        <v>45088</v>
      </c>
      <c r="I111" s="4" t="s">
        <v>145</v>
      </c>
      <c r="J111" s="4" t="s">
        <v>27</v>
      </c>
      <c r="K111" s="4">
        <v>60</v>
      </c>
      <c r="L111" s="4" t="str" cm="1">
        <f t="array" ref="L111">_xlfn.IFS(K111&gt;=50, "Senior", K111&gt;=30, "Adult", K111&lt;30, "Young Adult")</f>
        <v>Senior</v>
      </c>
      <c r="M111" s="4" t="s">
        <v>8</v>
      </c>
      <c r="N111" s="4">
        <v>3</v>
      </c>
      <c r="O111" s="5">
        <v>300</v>
      </c>
      <c r="P111">
        <f>N111*O111</f>
        <v>900</v>
      </c>
      <c r="Q111">
        <f>(P111*$U$4)</f>
        <v>13.5</v>
      </c>
    </row>
    <row r="112" spans="1:17">
      <c r="A112" s="2">
        <v>111</v>
      </c>
      <c r="B112" s="4">
        <f>YEAR(H112)</f>
        <v>2023</v>
      </c>
      <c r="C112" s="4">
        <f>MONTH(H112)</f>
        <v>4</v>
      </c>
      <c r="D112" s="4">
        <f>DAY(H112)</f>
        <v>19</v>
      </c>
      <c r="E112" s="4" t="str">
        <f>TEXT(H112,"dddd")</f>
        <v>Wednesday</v>
      </c>
      <c r="F112" s="4" t="str">
        <f t="shared" si="2"/>
        <v>April</v>
      </c>
      <c r="G112" s="4"/>
      <c r="H112" s="3">
        <v>45035</v>
      </c>
      <c r="I112" s="4" t="s">
        <v>146</v>
      </c>
      <c r="J112" s="4" t="s">
        <v>29</v>
      </c>
      <c r="K112" s="4">
        <v>60</v>
      </c>
      <c r="L112" s="4" t="str" cm="1">
        <f t="array" ref="L112">_xlfn.IFS(K112&gt;=50, "Senior", K112&gt;=30, "Adult", K112&lt;30, "Young Adult")</f>
        <v>Senior</v>
      </c>
      <c r="M112" s="4" t="s">
        <v>10</v>
      </c>
      <c r="N112" s="4">
        <v>3</v>
      </c>
      <c r="O112" s="5">
        <v>500</v>
      </c>
      <c r="P112">
        <f>N112*O112</f>
        <v>1500</v>
      </c>
      <c r="Q112">
        <f>(P112*$U$4)</f>
        <v>22.5</v>
      </c>
    </row>
    <row r="113" spans="1:17">
      <c r="A113" s="2">
        <v>112</v>
      </c>
      <c r="B113" s="4">
        <f>YEAR(H113)</f>
        <v>2023</v>
      </c>
      <c r="C113" s="4">
        <f>MONTH(H113)</f>
        <v>12</v>
      </c>
      <c r="D113" s="4">
        <f>DAY(H113)</f>
        <v>2</v>
      </c>
      <c r="E113" s="4" t="str">
        <f>TEXT(H113,"dddd")</f>
        <v>Saturday</v>
      </c>
      <c r="F113" s="4" t="str">
        <f t="shared" si="2"/>
        <v>December</v>
      </c>
      <c r="G113" s="4"/>
      <c r="H113" s="3">
        <v>45262</v>
      </c>
      <c r="I113" s="4" t="s">
        <v>147</v>
      </c>
      <c r="J113" s="4" t="s">
        <v>27</v>
      </c>
      <c r="K113" s="4">
        <v>60</v>
      </c>
      <c r="L113" s="4" t="str" cm="1">
        <f t="array" ref="L113">_xlfn.IFS(K113&gt;=50, "Senior", K113&gt;=30, "Adult", K113&lt;30, "Young Adult")</f>
        <v>Senior</v>
      </c>
      <c r="M113" s="4" t="s">
        <v>8</v>
      </c>
      <c r="N113" s="4">
        <v>3</v>
      </c>
      <c r="O113" s="5">
        <v>500</v>
      </c>
      <c r="P113">
        <f>N113*O113</f>
        <v>1500</v>
      </c>
      <c r="Q113">
        <f>(P113*$U$4)</f>
        <v>22.5</v>
      </c>
    </row>
    <row r="114" spans="1:17">
      <c r="A114" s="2">
        <v>113</v>
      </c>
      <c r="B114" s="4">
        <f>YEAR(H114)</f>
        <v>2023</v>
      </c>
      <c r="C114" s="4">
        <f>MONTH(H114)</f>
        <v>9</v>
      </c>
      <c r="D114" s="4">
        <f>DAY(H114)</f>
        <v>13</v>
      </c>
      <c r="E114" s="4" t="str">
        <f>TEXT(H114,"dddd")</f>
        <v>Wednesday</v>
      </c>
      <c r="F114" s="4" t="str">
        <f t="shared" si="2"/>
        <v>September</v>
      </c>
      <c r="G114" s="4"/>
      <c r="H114" s="3">
        <v>45182</v>
      </c>
      <c r="I114" s="4" t="s">
        <v>148</v>
      </c>
      <c r="J114" s="4" t="s">
        <v>29</v>
      </c>
      <c r="K114" s="4">
        <v>60</v>
      </c>
      <c r="L114" s="4" t="str" cm="1">
        <f t="array" ref="L114">_xlfn.IFS(K114&gt;=50, "Senior", K114&gt;=30, "Adult", K114&lt;30, "Young Adult")</f>
        <v>Senior</v>
      </c>
      <c r="M114" s="4" t="s">
        <v>10</v>
      </c>
      <c r="N114" s="4">
        <v>2</v>
      </c>
      <c r="O114" s="5">
        <v>25</v>
      </c>
      <c r="P114">
        <f>N114*O114</f>
        <v>50</v>
      </c>
      <c r="Q114">
        <f>(P114*$U$4)</f>
        <v>0.75</v>
      </c>
    </row>
    <row r="115" spans="1:17">
      <c r="A115" s="2">
        <v>114</v>
      </c>
      <c r="B115" s="4">
        <f>YEAR(H115)</f>
        <v>2023</v>
      </c>
      <c r="C115" s="4">
        <f>MONTH(H115)</f>
        <v>7</v>
      </c>
      <c r="D115" s="4">
        <f>DAY(H115)</f>
        <v>22</v>
      </c>
      <c r="E115" s="4" t="str">
        <f>TEXT(H115,"dddd")</f>
        <v>Saturday</v>
      </c>
      <c r="F115" s="4" t="str">
        <f t="shared" si="2"/>
        <v>July</v>
      </c>
      <c r="G115" s="4"/>
      <c r="H115" s="3">
        <v>45129</v>
      </c>
      <c r="I115" s="4" t="s">
        <v>149</v>
      </c>
      <c r="J115" s="4" t="s">
        <v>29</v>
      </c>
      <c r="K115" s="4">
        <v>60</v>
      </c>
      <c r="L115" s="4" t="str" cm="1">
        <f t="array" ref="L115">_xlfn.IFS(K115&gt;=50, "Senior", K115&gt;=30, "Adult", K115&lt;30, "Young Adult")</f>
        <v>Senior</v>
      </c>
      <c r="M115" s="4" t="s">
        <v>3</v>
      </c>
      <c r="N115" s="4">
        <v>4</v>
      </c>
      <c r="O115" s="5">
        <v>25</v>
      </c>
      <c r="P115">
        <f>N115*O115</f>
        <v>100</v>
      </c>
      <c r="Q115">
        <f>(P115*$U$4)</f>
        <v>1.5</v>
      </c>
    </row>
    <row r="116" spans="1:17">
      <c r="A116" s="2">
        <v>115</v>
      </c>
      <c r="B116" s="4">
        <f>YEAR(H116)</f>
        <v>2023</v>
      </c>
      <c r="C116" s="4">
        <f>MONTH(H116)</f>
        <v>11</v>
      </c>
      <c r="D116" s="4">
        <f>DAY(H116)</f>
        <v>26</v>
      </c>
      <c r="E116" s="4" t="str">
        <f>TEXT(H116,"dddd")</f>
        <v>Sunday</v>
      </c>
      <c r="F116" s="4" t="str">
        <f t="shared" si="2"/>
        <v>November</v>
      </c>
      <c r="G116" s="4"/>
      <c r="H116" s="3">
        <v>45256</v>
      </c>
      <c r="I116" s="4" t="s">
        <v>150</v>
      </c>
      <c r="J116" s="4" t="s">
        <v>27</v>
      </c>
      <c r="K116" s="4">
        <v>60</v>
      </c>
      <c r="L116" s="4" t="str" cm="1">
        <f t="array" ref="L116">_xlfn.IFS(K116&gt;=50, "Senior", K116&gt;=30, "Adult", K116&lt;30, "Young Adult")</f>
        <v>Senior</v>
      </c>
      <c r="M116" s="4" t="s">
        <v>8</v>
      </c>
      <c r="N116" s="4">
        <v>3</v>
      </c>
      <c r="O116" s="5">
        <v>500</v>
      </c>
      <c r="P116">
        <f>N116*O116</f>
        <v>1500</v>
      </c>
      <c r="Q116">
        <f>(P116*$U$4)</f>
        <v>22.5</v>
      </c>
    </row>
    <row r="117" spans="1:17">
      <c r="A117" s="2">
        <v>116</v>
      </c>
      <c r="B117" s="4">
        <f>YEAR(H117)</f>
        <v>2023</v>
      </c>
      <c r="C117" s="4">
        <f>MONTH(H117)</f>
        <v>8</v>
      </c>
      <c r="D117" s="4">
        <f>DAY(H117)</f>
        <v>23</v>
      </c>
      <c r="E117" s="4" t="str">
        <f>TEXT(H117,"dddd")</f>
        <v>Wednesday</v>
      </c>
      <c r="F117" s="4" t="str">
        <f t="shared" si="2"/>
        <v>August</v>
      </c>
      <c r="G117" s="4"/>
      <c r="H117" s="3">
        <v>45161</v>
      </c>
      <c r="I117" s="4" t="s">
        <v>151</v>
      </c>
      <c r="J117" s="4" t="s">
        <v>29</v>
      </c>
      <c r="K117" s="4">
        <v>59</v>
      </c>
      <c r="L117" s="4" t="str" cm="1">
        <f t="array" ref="L117">_xlfn.IFS(K117&gt;=50, "Senior", K117&gt;=30, "Adult", K117&lt;30, "Young Adult")</f>
        <v>Senior</v>
      </c>
      <c r="M117" s="4" t="s">
        <v>8</v>
      </c>
      <c r="N117" s="4">
        <v>1</v>
      </c>
      <c r="O117" s="5">
        <v>30</v>
      </c>
      <c r="P117">
        <f>N117*O117</f>
        <v>30</v>
      </c>
      <c r="Q117">
        <f>(P117*$U$4)</f>
        <v>0.44999999999999996</v>
      </c>
    </row>
    <row r="118" spans="1:17">
      <c r="A118" s="2">
        <v>117</v>
      </c>
      <c r="B118" s="4">
        <f>YEAR(H118)</f>
        <v>2023</v>
      </c>
      <c r="C118" s="4">
        <f>MONTH(H118)</f>
        <v>3</v>
      </c>
      <c r="D118" s="4">
        <f>DAY(H118)</f>
        <v>15</v>
      </c>
      <c r="E118" s="4" t="str">
        <f>TEXT(H118,"dddd")</f>
        <v>Wednesday</v>
      </c>
      <c r="F118" s="4" t="str">
        <f t="shared" si="2"/>
        <v>March</v>
      </c>
      <c r="G118" s="4"/>
      <c r="H118" s="3">
        <v>45000</v>
      </c>
      <c r="I118" s="4" t="s">
        <v>152</v>
      </c>
      <c r="J118" s="4" t="s">
        <v>27</v>
      </c>
      <c r="K118" s="4">
        <v>59</v>
      </c>
      <c r="L118" s="4" t="str" cm="1">
        <f t="array" ref="L118">_xlfn.IFS(K118&gt;=50, "Senior", K118&gt;=30, "Adult", K118&lt;30, "Young Adult")</f>
        <v>Senior</v>
      </c>
      <c r="M118" s="4" t="s">
        <v>10</v>
      </c>
      <c r="N118" s="4">
        <v>2</v>
      </c>
      <c r="O118" s="5">
        <v>500</v>
      </c>
      <c r="P118">
        <f>N118*O118</f>
        <v>1000</v>
      </c>
      <c r="Q118">
        <f>(P118*$U$4)</f>
        <v>15</v>
      </c>
    </row>
    <row r="119" spans="1:17">
      <c r="A119" s="2">
        <v>118</v>
      </c>
      <c r="B119" s="4">
        <f>YEAR(H119)</f>
        <v>2023</v>
      </c>
      <c r="C119" s="4">
        <f>MONTH(H119)</f>
        <v>5</v>
      </c>
      <c r="D119" s="4">
        <f>DAY(H119)</f>
        <v>16</v>
      </c>
      <c r="E119" s="4" t="str">
        <f>TEXT(H119,"dddd")</f>
        <v>Tuesday</v>
      </c>
      <c r="F119" s="4" t="str">
        <f t="shared" si="2"/>
        <v>May</v>
      </c>
      <c r="G119" s="4"/>
      <c r="H119" s="3">
        <v>45062</v>
      </c>
      <c r="I119" s="4" t="s">
        <v>153</v>
      </c>
      <c r="J119" s="4" t="s">
        <v>29</v>
      </c>
      <c r="K119" s="4">
        <v>59</v>
      </c>
      <c r="L119" s="4" t="str" cm="1">
        <f t="array" ref="L119">_xlfn.IFS(K119&gt;=50, "Senior", K119&gt;=30, "Adult", K119&lt;30, "Young Adult")</f>
        <v>Senior</v>
      </c>
      <c r="M119" s="4" t="s">
        <v>10</v>
      </c>
      <c r="N119" s="4">
        <v>4</v>
      </c>
      <c r="O119" s="5">
        <v>500</v>
      </c>
      <c r="P119">
        <f>N119*O119</f>
        <v>2000</v>
      </c>
      <c r="Q119">
        <f>(P119*$U$4)</f>
        <v>30</v>
      </c>
    </row>
    <row r="120" spans="1:17">
      <c r="A120" s="2">
        <v>119</v>
      </c>
      <c r="B120" s="4">
        <f>YEAR(H120)</f>
        <v>2023</v>
      </c>
      <c r="C120" s="4">
        <f>MONTH(H120)</f>
        <v>3</v>
      </c>
      <c r="D120" s="4">
        <f>DAY(H120)</f>
        <v>13</v>
      </c>
      <c r="E120" s="4" t="str">
        <f>TEXT(H120,"dddd")</f>
        <v>Monday</v>
      </c>
      <c r="F120" s="4" t="str">
        <f t="shared" si="2"/>
        <v>March</v>
      </c>
      <c r="G120" s="4"/>
      <c r="H120" s="3">
        <v>44998</v>
      </c>
      <c r="I120" s="4" t="s">
        <v>154</v>
      </c>
      <c r="J120" s="4" t="s">
        <v>29</v>
      </c>
      <c r="K120" s="4">
        <v>59</v>
      </c>
      <c r="L120" s="4" t="str" cm="1">
        <f t="array" ref="L120">_xlfn.IFS(K120&gt;=50, "Senior", K120&gt;=30, "Adult", K120&lt;30, "Young Adult")</f>
        <v>Senior</v>
      </c>
      <c r="M120" s="4" t="s">
        <v>8</v>
      </c>
      <c r="N120" s="4">
        <v>3</v>
      </c>
      <c r="O120" s="5">
        <v>50</v>
      </c>
      <c r="P120">
        <f>N120*O120</f>
        <v>150</v>
      </c>
      <c r="Q120">
        <f>(P120*$U$4)</f>
        <v>2.25</v>
      </c>
    </row>
    <row r="121" spans="1:17">
      <c r="A121" s="2">
        <v>120</v>
      </c>
      <c r="B121" s="4">
        <f>YEAR(H121)</f>
        <v>2023</v>
      </c>
      <c r="C121" s="4">
        <f>MONTH(H121)</f>
        <v>5</v>
      </c>
      <c r="D121" s="4">
        <f>DAY(H121)</f>
        <v>7</v>
      </c>
      <c r="E121" s="4" t="str">
        <f>TEXT(H121,"dddd")</f>
        <v>Sunday</v>
      </c>
      <c r="F121" s="4" t="str">
        <f t="shared" si="2"/>
        <v>May</v>
      </c>
      <c r="G121" s="4"/>
      <c r="H121" s="3">
        <v>45053</v>
      </c>
      <c r="I121" s="4" t="s">
        <v>155</v>
      </c>
      <c r="J121" s="4" t="s">
        <v>27</v>
      </c>
      <c r="K121" s="4">
        <v>59</v>
      </c>
      <c r="L121" s="4" t="str" cm="1">
        <f t="array" ref="L121">_xlfn.IFS(K121&gt;=50, "Senior", K121&gt;=30, "Adult", K121&lt;30, "Young Adult")</f>
        <v>Senior</v>
      </c>
      <c r="M121" s="4" t="s">
        <v>3</v>
      </c>
      <c r="N121" s="4">
        <v>1</v>
      </c>
      <c r="O121" s="5">
        <v>50</v>
      </c>
      <c r="P121">
        <f>N121*O121</f>
        <v>50</v>
      </c>
      <c r="Q121">
        <f>(P121*$U$4)</f>
        <v>0.75</v>
      </c>
    </row>
    <row r="122" spans="1:17">
      <c r="A122" s="2">
        <v>121</v>
      </c>
      <c r="B122" s="4">
        <f>YEAR(H122)</f>
        <v>2023</v>
      </c>
      <c r="C122" s="4">
        <f>MONTH(H122)</f>
        <v>10</v>
      </c>
      <c r="D122" s="4">
        <f>DAY(H122)</f>
        <v>15</v>
      </c>
      <c r="E122" s="4" t="str">
        <f>TEXT(H122,"dddd")</f>
        <v>Sunday</v>
      </c>
      <c r="F122" s="4" t="str">
        <f t="shared" si="2"/>
        <v>October</v>
      </c>
      <c r="G122" s="4"/>
      <c r="H122" s="3">
        <v>45214</v>
      </c>
      <c r="I122" s="4" t="s">
        <v>156</v>
      </c>
      <c r="J122" s="4" t="s">
        <v>29</v>
      </c>
      <c r="K122" s="4">
        <v>59</v>
      </c>
      <c r="L122" s="4" t="str" cm="1">
        <f t="array" ref="L122">_xlfn.IFS(K122&gt;=50, "Senior", K122&gt;=30, "Adult", K122&lt;30, "Young Adult")</f>
        <v>Senior</v>
      </c>
      <c r="M122" s="4" t="s">
        <v>10</v>
      </c>
      <c r="N122" s="4">
        <v>4</v>
      </c>
      <c r="O122" s="5">
        <v>50</v>
      </c>
      <c r="P122">
        <f>N122*O122</f>
        <v>200</v>
      </c>
      <c r="Q122">
        <f>(P122*$U$4)</f>
        <v>3</v>
      </c>
    </row>
    <row r="123" spans="1:17">
      <c r="A123" s="2">
        <v>122</v>
      </c>
      <c r="B123" s="4">
        <f>YEAR(H123)</f>
        <v>2023</v>
      </c>
      <c r="C123" s="4">
        <f>MONTH(H123)</f>
        <v>10</v>
      </c>
      <c r="D123" s="4">
        <f>DAY(H123)</f>
        <v>3</v>
      </c>
      <c r="E123" s="4" t="str">
        <f>TEXT(H123,"dddd")</f>
        <v>Tuesday</v>
      </c>
      <c r="F123" s="4" t="str">
        <f t="shared" si="2"/>
        <v>October</v>
      </c>
      <c r="G123" s="4"/>
      <c r="H123" s="3">
        <v>45202</v>
      </c>
      <c r="I123" s="4" t="s">
        <v>157</v>
      </c>
      <c r="J123" s="4" t="s">
        <v>27</v>
      </c>
      <c r="K123" s="4">
        <v>59</v>
      </c>
      <c r="L123" s="4" t="str" cm="1">
        <f t="array" ref="L123">_xlfn.IFS(K123&gt;=50, "Senior", K123&gt;=30, "Adult", K123&lt;30, "Young Adult")</f>
        <v>Senior</v>
      </c>
      <c r="M123" s="4" t="s">
        <v>10</v>
      </c>
      <c r="N123" s="4">
        <v>4</v>
      </c>
      <c r="O123" s="5">
        <v>30</v>
      </c>
      <c r="P123">
        <f>N123*O123</f>
        <v>120</v>
      </c>
      <c r="Q123">
        <f>(P123*$U$4)</f>
        <v>1.7999999999999998</v>
      </c>
    </row>
    <row r="124" spans="1:17">
      <c r="A124" s="2">
        <v>123</v>
      </c>
      <c r="B124" s="4">
        <f>YEAR(H124)</f>
        <v>2023</v>
      </c>
      <c r="C124" s="4">
        <f>MONTH(H124)</f>
        <v>5</v>
      </c>
      <c r="D124" s="4">
        <f>DAY(H124)</f>
        <v>15</v>
      </c>
      <c r="E124" s="4" t="str">
        <f>TEXT(H124,"dddd")</f>
        <v>Monday</v>
      </c>
      <c r="F124" s="4" t="str">
        <f t="shared" si="2"/>
        <v>May</v>
      </c>
      <c r="G124" s="4"/>
      <c r="H124" s="3">
        <v>45061</v>
      </c>
      <c r="I124" s="4" t="s">
        <v>158</v>
      </c>
      <c r="J124" s="4" t="s">
        <v>29</v>
      </c>
      <c r="K124" s="4">
        <v>59</v>
      </c>
      <c r="L124" s="4" t="str" cm="1">
        <f t="array" ref="L124">_xlfn.IFS(K124&gt;=50, "Senior", K124&gt;=30, "Adult", K124&lt;30, "Young Adult")</f>
        <v>Senior</v>
      </c>
      <c r="M124" s="4" t="s">
        <v>10</v>
      </c>
      <c r="N124" s="4">
        <v>2</v>
      </c>
      <c r="O124" s="5">
        <v>30</v>
      </c>
      <c r="P124">
        <f>N124*O124</f>
        <v>60</v>
      </c>
      <c r="Q124">
        <f>(P124*$U$4)</f>
        <v>0.89999999999999991</v>
      </c>
    </row>
    <row r="125" spans="1:17">
      <c r="A125" s="2">
        <v>124</v>
      </c>
      <c r="B125" s="4">
        <f>YEAR(H125)</f>
        <v>2023</v>
      </c>
      <c r="C125" s="4">
        <f>MONTH(H125)</f>
        <v>10</v>
      </c>
      <c r="D125" s="4">
        <f>DAY(H125)</f>
        <v>27</v>
      </c>
      <c r="E125" s="4" t="str">
        <f>TEXT(H125,"dddd")</f>
        <v>Friday</v>
      </c>
      <c r="F125" s="4" t="str">
        <f t="shared" si="2"/>
        <v>October</v>
      </c>
      <c r="G125" s="4"/>
      <c r="H125" s="3">
        <v>45226</v>
      </c>
      <c r="I125" s="4" t="s">
        <v>159</v>
      </c>
      <c r="J125" s="4" t="s">
        <v>27</v>
      </c>
      <c r="K125" s="4">
        <v>59</v>
      </c>
      <c r="L125" s="4" t="str" cm="1">
        <f t="array" ref="L125">_xlfn.IFS(K125&gt;=50, "Senior", K125&gt;=30, "Adult", K125&lt;30, "Young Adult")</f>
        <v>Senior</v>
      </c>
      <c r="M125" s="4" t="s">
        <v>8</v>
      </c>
      <c r="N125" s="4">
        <v>4</v>
      </c>
      <c r="O125" s="5">
        <v>500</v>
      </c>
      <c r="P125">
        <f>N125*O125</f>
        <v>2000</v>
      </c>
      <c r="Q125">
        <f>(P125*$U$4)</f>
        <v>30</v>
      </c>
    </row>
    <row r="126" spans="1:17">
      <c r="A126" s="2">
        <v>125</v>
      </c>
      <c r="B126" s="4">
        <f>YEAR(H126)</f>
        <v>2023</v>
      </c>
      <c r="C126" s="4">
        <f>MONTH(H126)</f>
        <v>8</v>
      </c>
      <c r="D126" s="4">
        <f>DAY(H126)</f>
        <v>8</v>
      </c>
      <c r="E126" s="4" t="str">
        <f>TEXT(H126,"dddd")</f>
        <v>Tuesday</v>
      </c>
      <c r="F126" s="4" t="str">
        <f t="shared" si="2"/>
        <v>August</v>
      </c>
      <c r="G126" s="4"/>
      <c r="H126" s="3">
        <v>45146</v>
      </c>
      <c r="I126" s="4" t="s">
        <v>160</v>
      </c>
      <c r="J126" s="4" t="s">
        <v>27</v>
      </c>
      <c r="K126" s="4">
        <v>59</v>
      </c>
      <c r="L126" s="4" t="str" cm="1">
        <f t="array" ref="L126">_xlfn.IFS(K126&gt;=50, "Senior", K126&gt;=30, "Adult", K126&lt;30, "Young Adult")</f>
        <v>Senior</v>
      </c>
      <c r="M126" s="4" t="s">
        <v>8</v>
      </c>
      <c r="N126" s="4">
        <v>2</v>
      </c>
      <c r="O126" s="5">
        <v>50</v>
      </c>
      <c r="P126">
        <f>N126*O126</f>
        <v>100</v>
      </c>
      <c r="Q126">
        <f>(P126*$U$4)</f>
        <v>1.5</v>
      </c>
    </row>
    <row r="127" spans="1:17">
      <c r="A127" s="2">
        <v>126</v>
      </c>
      <c r="B127" s="4">
        <f>YEAR(H127)</f>
        <v>2023</v>
      </c>
      <c r="C127" s="4">
        <f>MONTH(H127)</f>
        <v>10</v>
      </c>
      <c r="D127" s="4">
        <f>DAY(H127)</f>
        <v>26</v>
      </c>
      <c r="E127" s="4" t="str">
        <f>TEXT(H127,"dddd")</f>
        <v>Thursday</v>
      </c>
      <c r="F127" s="4" t="str">
        <f t="shared" si="2"/>
        <v>October</v>
      </c>
      <c r="G127" s="4"/>
      <c r="H127" s="3">
        <v>45225</v>
      </c>
      <c r="I127" s="4" t="s">
        <v>161</v>
      </c>
      <c r="J127" s="4" t="s">
        <v>29</v>
      </c>
      <c r="K127" s="4">
        <v>59</v>
      </c>
      <c r="L127" s="4" t="str" cm="1">
        <f t="array" ref="L127">_xlfn.IFS(K127&gt;=50, "Senior", K127&gt;=30, "Adult", K127&lt;30, "Young Adult")</f>
        <v>Senior</v>
      </c>
      <c r="M127" s="4" t="s">
        <v>8</v>
      </c>
      <c r="N127" s="4">
        <v>3</v>
      </c>
      <c r="O127" s="5">
        <v>30</v>
      </c>
      <c r="P127">
        <f>N127*O127</f>
        <v>90</v>
      </c>
      <c r="Q127">
        <f>(P127*$U$4)</f>
        <v>1.3499999999999999</v>
      </c>
    </row>
    <row r="128" spans="1:17">
      <c r="A128" s="2">
        <v>127</v>
      </c>
      <c r="B128" s="4">
        <f>YEAR(H128)</f>
        <v>2023</v>
      </c>
      <c r="C128" s="4">
        <f>MONTH(H128)</f>
        <v>7</v>
      </c>
      <c r="D128" s="4">
        <f>DAY(H128)</f>
        <v>24</v>
      </c>
      <c r="E128" s="4" t="str">
        <f>TEXT(H128,"dddd")</f>
        <v>Monday</v>
      </c>
      <c r="F128" s="4" t="str">
        <f t="shared" si="2"/>
        <v>July</v>
      </c>
      <c r="G128" s="4"/>
      <c r="H128" s="3">
        <v>45131</v>
      </c>
      <c r="I128" s="4" t="s">
        <v>162</v>
      </c>
      <c r="J128" s="4" t="s">
        <v>29</v>
      </c>
      <c r="K128" s="4">
        <v>59</v>
      </c>
      <c r="L128" s="4" t="str" cm="1">
        <f t="array" ref="L128">_xlfn.IFS(K128&gt;=50, "Senior", K128&gt;=30, "Adult", K128&lt;30, "Young Adult")</f>
        <v>Senior</v>
      </c>
      <c r="M128" s="4" t="s">
        <v>8</v>
      </c>
      <c r="N128" s="4">
        <v>2</v>
      </c>
      <c r="O128" s="5">
        <v>25</v>
      </c>
      <c r="P128">
        <f>N128*O128</f>
        <v>50</v>
      </c>
      <c r="Q128">
        <f>(P128*$U$4)</f>
        <v>0.75</v>
      </c>
    </row>
    <row r="129" spans="1:17">
      <c r="A129" s="2">
        <v>128</v>
      </c>
      <c r="B129" s="4">
        <f>YEAR(H129)</f>
        <v>2023</v>
      </c>
      <c r="C129" s="4">
        <f>MONTH(H129)</f>
        <v>7</v>
      </c>
      <c r="D129" s="4">
        <f>DAY(H129)</f>
        <v>5</v>
      </c>
      <c r="E129" s="4" t="str">
        <f>TEXT(H129,"dddd")</f>
        <v>Wednesday</v>
      </c>
      <c r="F129" s="4" t="str">
        <f t="shared" si="2"/>
        <v>July</v>
      </c>
      <c r="G129" s="4"/>
      <c r="H129" s="3">
        <v>45112</v>
      </c>
      <c r="I129" s="4" t="s">
        <v>163</v>
      </c>
      <c r="J129" s="4" t="s">
        <v>27</v>
      </c>
      <c r="K129" s="4">
        <v>59</v>
      </c>
      <c r="L129" s="4" t="str" cm="1">
        <f t="array" ref="L129">_xlfn.IFS(K129&gt;=50, "Senior", K129&gt;=30, "Adult", K129&lt;30, "Young Adult")</f>
        <v>Senior</v>
      </c>
      <c r="M129" s="4" t="s">
        <v>3</v>
      </c>
      <c r="N129" s="4">
        <v>1</v>
      </c>
      <c r="O129" s="5">
        <v>500</v>
      </c>
      <c r="P129">
        <f>N129*O129</f>
        <v>500</v>
      </c>
      <c r="Q129">
        <f>(P129*$U$4)</f>
        <v>7.5</v>
      </c>
    </row>
    <row r="130" spans="1:17">
      <c r="A130" s="2">
        <v>129</v>
      </c>
      <c r="B130" s="4">
        <f>YEAR(H130)</f>
        <v>2023</v>
      </c>
      <c r="C130" s="4">
        <f>MONTH(H130)</f>
        <v>4</v>
      </c>
      <c r="D130" s="4">
        <f>DAY(H130)</f>
        <v>23</v>
      </c>
      <c r="E130" s="4" t="str">
        <f>TEXT(H130,"dddd")</f>
        <v>Sunday</v>
      </c>
      <c r="F130" s="4" t="str">
        <f t="shared" si="2"/>
        <v>April</v>
      </c>
      <c r="G130" s="4"/>
      <c r="H130" s="3">
        <v>45039</v>
      </c>
      <c r="I130" s="4" t="s">
        <v>164</v>
      </c>
      <c r="J130" s="4" t="s">
        <v>29</v>
      </c>
      <c r="K130" s="4">
        <v>59</v>
      </c>
      <c r="L130" s="4" t="str" cm="1">
        <f t="array" ref="L130">_xlfn.IFS(K130&gt;=50, "Senior", K130&gt;=30, "Adult", K130&lt;30, "Young Adult")</f>
        <v>Senior</v>
      </c>
      <c r="M130" s="4" t="s">
        <v>3</v>
      </c>
      <c r="N130" s="4">
        <v>2</v>
      </c>
      <c r="O130" s="5">
        <v>300</v>
      </c>
      <c r="P130">
        <f>N130*O130</f>
        <v>600</v>
      </c>
      <c r="Q130">
        <f>(P130*$U$4)</f>
        <v>9</v>
      </c>
    </row>
    <row r="131" spans="1:17">
      <c r="A131" s="2">
        <v>130</v>
      </c>
      <c r="B131" s="4">
        <f>YEAR(H131)</f>
        <v>2023</v>
      </c>
      <c r="C131" s="4">
        <f>MONTH(H131)</f>
        <v>3</v>
      </c>
      <c r="D131" s="4">
        <f>DAY(H131)</f>
        <v>12</v>
      </c>
      <c r="E131" s="4" t="str">
        <f>TEXT(H131,"dddd")</f>
        <v>Sunday</v>
      </c>
      <c r="F131" s="4" t="str">
        <f t="shared" ref="F131:F194" si="3">TEXT(H131,"mmmm")</f>
        <v>March</v>
      </c>
      <c r="G131" s="4"/>
      <c r="H131" s="3">
        <v>44997</v>
      </c>
      <c r="I131" s="4" t="s">
        <v>165</v>
      </c>
      <c r="J131" s="4" t="s">
        <v>29</v>
      </c>
      <c r="K131" s="4">
        <v>59</v>
      </c>
      <c r="L131" s="4" t="str" cm="1">
        <f t="array" ref="L131">_xlfn.IFS(K131&gt;=50, "Senior", K131&gt;=30, "Adult", K131&lt;30, "Young Adult")</f>
        <v>Senior</v>
      </c>
      <c r="M131" s="4" t="s">
        <v>8</v>
      </c>
      <c r="N131" s="4">
        <v>1</v>
      </c>
      <c r="O131" s="5">
        <v>500</v>
      </c>
      <c r="P131">
        <f>N131*O131</f>
        <v>500</v>
      </c>
      <c r="Q131">
        <f>(P131*$U$4)</f>
        <v>7.5</v>
      </c>
    </row>
    <row r="132" spans="1:17">
      <c r="A132" s="2">
        <v>131</v>
      </c>
      <c r="B132" s="4">
        <f>YEAR(H132)</f>
        <v>2023</v>
      </c>
      <c r="C132" s="4">
        <f>MONTH(H132)</f>
        <v>9</v>
      </c>
      <c r="D132" s="4">
        <f>DAY(H132)</f>
        <v>18</v>
      </c>
      <c r="E132" s="4" t="str">
        <f>TEXT(H132,"dddd")</f>
        <v>Monday</v>
      </c>
      <c r="F132" s="4" t="str">
        <f t="shared" si="3"/>
        <v>September</v>
      </c>
      <c r="G132" s="4"/>
      <c r="H132" s="3">
        <v>45187</v>
      </c>
      <c r="I132" s="4" t="s">
        <v>166</v>
      </c>
      <c r="J132" s="4" t="s">
        <v>29</v>
      </c>
      <c r="K132" s="4">
        <v>59</v>
      </c>
      <c r="L132" s="4" t="str" cm="1">
        <f t="array" ref="L132">_xlfn.IFS(K132&gt;=50, "Senior", K132&gt;=30, "Adult", K132&lt;30, "Young Adult")</f>
        <v>Senior</v>
      </c>
      <c r="M132" s="4" t="s">
        <v>3</v>
      </c>
      <c r="N132" s="4">
        <v>2</v>
      </c>
      <c r="O132" s="5">
        <v>300</v>
      </c>
      <c r="P132">
        <f>N132*O132</f>
        <v>600</v>
      </c>
      <c r="Q132">
        <f>(P132*$U$4)</f>
        <v>9</v>
      </c>
    </row>
    <row r="133" spans="1:17">
      <c r="A133" s="2">
        <v>132</v>
      </c>
      <c r="B133" s="4">
        <f>YEAR(H133)</f>
        <v>2023</v>
      </c>
      <c r="C133" s="4">
        <f>MONTH(H133)</f>
        <v>9</v>
      </c>
      <c r="D133" s="4">
        <f>DAY(H133)</f>
        <v>10</v>
      </c>
      <c r="E133" s="4" t="str">
        <f>TEXT(H133,"dddd")</f>
        <v>Sunday</v>
      </c>
      <c r="F133" s="4" t="str">
        <f t="shared" si="3"/>
        <v>September</v>
      </c>
      <c r="G133" s="4"/>
      <c r="H133" s="3">
        <v>45179</v>
      </c>
      <c r="I133" s="4" t="s">
        <v>167</v>
      </c>
      <c r="J133" s="4" t="s">
        <v>27</v>
      </c>
      <c r="K133" s="4">
        <v>59</v>
      </c>
      <c r="L133" s="4" t="str" cm="1">
        <f t="array" ref="L133">_xlfn.IFS(K133&gt;=50, "Senior", K133&gt;=30, "Adult", K133&lt;30, "Young Adult")</f>
        <v>Senior</v>
      </c>
      <c r="M133" s="4" t="s">
        <v>10</v>
      </c>
      <c r="N133" s="4">
        <v>4</v>
      </c>
      <c r="O133" s="5">
        <v>50</v>
      </c>
      <c r="P133">
        <f>N133*O133</f>
        <v>200</v>
      </c>
      <c r="Q133">
        <f>(P133*$U$4)</f>
        <v>3</v>
      </c>
    </row>
    <row r="134" spans="1:17">
      <c r="A134" s="2">
        <v>133</v>
      </c>
      <c r="B134" s="4">
        <f>YEAR(H134)</f>
        <v>2023</v>
      </c>
      <c r="C134" s="4">
        <f>MONTH(H134)</f>
        <v>2</v>
      </c>
      <c r="D134" s="4">
        <f>DAY(H134)</f>
        <v>16</v>
      </c>
      <c r="E134" s="4" t="str">
        <f>TEXT(H134,"dddd")</f>
        <v>Thursday</v>
      </c>
      <c r="F134" s="4" t="str">
        <f t="shared" si="3"/>
        <v>February</v>
      </c>
      <c r="G134" s="4"/>
      <c r="H134" s="3">
        <v>44973</v>
      </c>
      <c r="I134" s="4" t="s">
        <v>168</v>
      </c>
      <c r="J134" s="4" t="s">
        <v>27</v>
      </c>
      <c r="K134" s="4">
        <v>58</v>
      </c>
      <c r="L134" s="4" t="str" cm="1">
        <f t="array" ref="L134">_xlfn.IFS(K134&gt;=50, "Senior", K134&gt;=30, "Adult", K134&lt;30, "Young Adult")</f>
        <v>Senior</v>
      </c>
      <c r="M134" s="4" t="s">
        <v>10</v>
      </c>
      <c r="N134" s="4">
        <v>3</v>
      </c>
      <c r="O134" s="5">
        <v>300</v>
      </c>
      <c r="P134">
        <f>N134*O134</f>
        <v>900</v>
      </c>
      <c r="Q134">
        <f>(P134*$U$4)</f>
        <v>13.5</v>
      </c>
    </row>
    <row r="135" spans="1:17">
      <c r="A135" s="2">
        <v>134</v>
      </c>
      <c r="B135" s="4">
        <f>YEAR(H135)</f>
        <v>2023</v>
      </c>
      <c r="C135" s="4">
        <f>MONTH(H135)</f>
        <v>1</v>
      </c>
      <c r="D135" s="4">
        <f>DAY(H135)</f>
        <v>25</v>
      </c>
      <c r="E135" s="4" t="str">
        <f>TEXT(H135,"dddd")</f>
        <v>Wednesday</v>
      </c>
      <c r="F135" s="4" t="str">
        <f t="shared" si="3"/>
        <v>January</v>
      </c>
      <c r="G135" s="4"/>
      <c r="H135" s="3">
        <v>44951</v>
      </c>
      <c r="I135" s="4" t="s">
        <v>169</v>
      </c>
      <c r="J135" s="4" t="s">
        <v>27</v>
      </c>
      <c r="K135" s="4">
        <v>58</v>
      </c>
      <c r="L135" s="4" t="str" cm="1">
        <f t="array" ref="L135">_xlfn.IFS(K135&gt;=50, "Senior", K135&gt;=30, "Adult", K135&lt;30, "Young Adult")</f>
        <v>Senior</v>
      </c>
      <c r="M135" s="4" t="s">
        <v>10</v>
      </c>
      <c r="N135" s="4">
        <v>1</v>
      </c>
      <c r="O135" s="5">
        <v>50</v>
      </c>
      <c r="P135">
        <f>N135*O135</f>
        <v>50</v>
      </c>
      <c r="Q135">
        <f>(P135*$U$4)</f>
        <v>0.75</v>
      </c>
    </row>
    <row r="136" spans="1:17">
      <c r="A136" s="2">
        <v>135</v>
      </c>
      <c r="B136" s="4">
        <f>YEAR(H136)</f>
        <v>2023</v>
      </c>
      <c r="C136" s="4">
        <f>MONTH(H136)</f>
        <v>2</v>
      </c>
      <c r="D136" s="4">
        <f>DAY(H136)</f>
        <v>26</v>
      </c>
      <c r="E136" s="4" t="str">
        <f>TEXT(H136,"dddd")</f>
        <v>Sunday</v>
      </c>
      <c r="F136" s="4" t="str">
        <f t="shared" si="3"/>
        <v>February</v>
      </c>
      <c r="G136" s="4"/>
      <c r="H136" s="3">
        <v>44983</v>
      </c>
      <c r="I136" s="4" t="s">
        <v>170</v>
      </c>
      <c r="J136" s="4" t="s">
        <v>27</v>
      </c>
      <c r="K136" s="4">
        <v>58</v>
      </c>
      <c r="L136" s="4" t="str" cm="1">
        <f t="array" ref="L136">_xlfn.IFS(K136&gt;=50, "Senior", K136&gt;=30, "Adult", K136&lt;30, "Young Adult")</f>
        <v>Senior</v>
      </c>
      <c r="M136" s="4" t="s">
        <v>8</v>
      </c>
      <c r="N136" s="4">
        <v>2</v>
      </c>
      <c r="O136" s="5">
        <v>25</v>
      </c>
      <c r="P136">
        <f>N136*O136</f>
        <v>50</v>
      </c>
      <c r="Q136">
        <f>(P136*$U$4)</f>
        <v>0.75</v>
      </c>
    </row>
    <row r="137" spans="1:17">
      <c r="A137" s="2">
        <v>136</v>
      </c>
      <c r="B137" s="4">
        <f>YEAR(H137)</f>
        <v>2023</v>
      </c>
      <c r="C137" s="4">
        <f>MONTH(H137)</f>
        <v>3</v>
      </c>
      <c r="D137" s="4">
        <f>DAY(H137)</f>
        <v>20</v>
      </c>
      <c r="E137" s="4" t="str">
        <f>TEXT(H137,"dddd")</f>
        <v>Monday</v>
      </c>
      <c r="F137" s="4" t="str">
        <f t="shared" si="3"/>
        <v>March</v>
      </c>
      <c r="G137" s="4"/>
      <c r="H137" s="3">
        <v>45005</v>
      </c>
      <c r="I137" s="4" t="s">
        <v>171</v>
      </c>
      <c r="J137" s="4" t="s">
        <v>27</v>
      </c>
      <c r="K137" s="4">
        <v>58</v>
      </c>
      <c r="L137" s="4" t="str" cm="1">
        <f t="array" ref="L137">_xlfn.IFS(K137&gt;=50, "Senior", K137&gt;=30, "Adult", K137&lt;30, "Young Adult")</f>
        <v>Senior</v>
      </c>
      <c r="M137" s="4" t="s">
        <v>10</v>
      </c>
      <c r="N137" s="4">
        <v>2</v>
      </c>
      <c r="O137" s="5">
        <v>300</v>
      </c>
      <c r="P137">
        <f>N137*O137</f>
        <v>600</v>
      </c>
      <c r="Q137">
        <f>(P137*$U$4)</f>
        <v>9</v>
      </c>
    </row>
    <row r="138" spans="1:17">
      <c r="A138" s="2">
        <v>137</v>
      </c>
      <c r="B138" s="4">
        <f>YEAR(H138)</f>
        <v>2023</v>
      </c>
      <c r="C138" s="4">
        <f>MONTH(H138)</f>
        <v>11</v>
      </c>
      <c r="D138" s="4">
        <f>DAY(H138)</f>
        <v>18</v>
      </c>
      <c r="E138" s="4" t="str">
        <f>TEXT(H138,"dddd")</f>
        <v>Saturday</v>
      </c>
      <c r="F138" s="4" t="str">
        <f t="shared" si="3"/>
        <v>November</v>
      </c>
      <c r="G138" s="4"/>
      <c r="H138" s="3">
        <v>45248</v>
      </c>
      <c r="I138" s="4" t="s">
        <v>172</v>
      </c>
      <c r="J138" s="4" t="s">
        <v>27</v>
      </c>
      <c r="K138" s="4">
        <v>58</v>
      </c>
      <c r="L138" s="4" t="str" cm="1">
        <f t="array" ref="L138">_xlfn.IFS(K138&gt;=50, "Senior", K138&gt;=30, "Adult", K138&lt;30, "Young Adult")</f>
        <v>Senior</v>
      </c>
      <c r="M138" s="4" t="s">
        <v>3</v>
      </c>
      <c r="N138" s="4">
        <v>2</v>
      </c>
      <c r="O138" s="5">
        <v>500</v>
      </c>
      <c r="P138">
        <f>N138*O138</f>
        <v>1000</v>
      </c>
      <c r="Q138">
        <f>(P138*$U$4)</f>
        <v>15</v>
      </c>
    </row>
    <row r="139" spans="1:17">
      <c r="A139" s="2">
        <v>138</v>
      </c>
      <c r="B139" s="4">
        <f>YEAR(H139)</f>
        <v>2023</v>
      </c>
      <c r="C139" s="4">
        <f>MONTH(H139)</f>
        <v>3</v>
      </c>
      <c r="D139" s="4">
        <f>DAY(H139)</f>
        <v>23</v>
      </c>
      <c r="E139" s="4" t="str">
        <f>TEXT(H139,"dddd")</f>
        <v>Thursday</v>
      </c>
      <c r="F139" s="4" t="str">
        <f t="shared" si="3"/>
        <v>March</v>
      </c>
      <c r="G139" s="4"/>
      <c r="H139" s="3">
        <v>45008</v>
      </c>
      <c r="I139" s="4" t="s">
        <v>173</v>
      </c>
      <c r="J139" s="4" t="s">
        <v>27</v>
      </c>
      <c r="K139" s="4">
        <v>58</v>
      </c>
      <c r="L139" s="4" t="str" cm="1">
        <f t="array" ref="L139">_xlfn.IFS(K139&gt;=50, "Senior", K139&gt;=30, "Adult", K139&lt;30, "Young Adult")</f>
        <v>Senior</v>
      </c>
      <c r="M139" s="4" t="s">
        <v>8</v>
      </c>
      <c r="N139" s="4">
        <v>4</v>
      </c>
      <c r="O139" s="5">
        <v>50</v>
      </c>
      <c r="P139">
        <f>N139*O139</f>
        <v>200</v>
      </c>
      <c r="Q139">
        <f>(P139*$U$4)</f>
        <v>3</v>
      </c>
    </row>
    <row r="140" spans="1:17">
      <c r="A140" s="2">
        <v>139</v>
      </c>
      <c r="B140" s="4">
        <f>YEAR(H140)</f>
        <v>2023</v>
      </c>
      <c r="C140" s="4">
        <f>MONTH(H140)</f>
        <v>12</v>
      </c>
      <c r="D140" s="4">
        <f>DAY(H140)</f>
        <v>15</v>
      </c>
      <c r="E140" s="4" t="str">
        <f>TEXT(H140,"dddd")</f>
        <v>Friday</v>
      </c>
      <c r="F140" s="4" t="str">
        <f t="shared" si="3"/>
        <v>December</v>
      </c>
      <c r="G140" s="4"/>
      <c r="H140" s="3">
        <v>45275</v>
      </c>
      <c r="I140" s="4" t="s">
        <v>174</v>
      </c>
      <c r="J140" s="4" t="s">
        <v>27</v>
      </c>
      <c r="K140" s="4">
        <v>58</v>
      </c>
      <c r="L140" s="4" t="str" cm="1">
        <f t="array" ref="L140">_xlfn.IFS(K140&gt;=50, "Senior", K140&gt;=30, "Adult", K140&lt;30, "Young Adult")</f>
        <v>Senior</v>
      </c>
      <c r="M140" s="4" t="s">
        <v>3</v>
      </c>
      <c r="N140" s="4">
        <v>4</v>
      </c>
      <c r="O140" s="5">
        <v>500</v>
      </c>
      <c r="P140">
        <f>N140*O140</f>
        <v>2000</v>
      </c>
      <c r="Q140">
        <f>(P140*$U$4)</f>
        <v>30</v>
      </c>
    </row>
    <row r="141" spans="1:17">
      <c r="A141" s="2">
        <v>140</v>
      </c>
      <c r="B141" s="4">
        <f>YEAR(H141)</f>
        <v>2023</v>
      </c>
      <c r="C141" s="4">
        <f>MONTH(H141)</f>
        <v>8</v>
      </c>
      <c r="D141" s="4">
        <f>DAY(H141)</f>
        <v>5</v>
      </c>
      <c r="E141" s="4" t="str">
        <f>TEXT(H141,"dddd")</f>
        <v>Saturday</v>
      </c>
      <c r="F141" s="4" t="str">
        <f t="shared" si="3"/>
        <v>August</v>
      </c>
      <c r="G141" s="4"/>
      <c r="H141" s="3">
        <v>45143</v>
      </c>
      <c r="I141" s="4" t="s">
        <v>175</v>
      </c>
      <c r="J141" s="4" t="s">
        <v>27</v>
      </c>
      <c r="K141" s="4">
        <v>58</v>
      </c>
      <c r="L141" s="4" t="str" cm="1">
        <f t="array" ref="L141">_xlfn.IFS(K141&gt;=50, "Senior", K141&gt;=30, "Adult", K141&lt;30, "Young Adult")</f>
        <v>Senior</v>
      </c>
      <c r="M141" s="4" t="s">
        <v>10</v>
      </c>
      <c r="N141" s="4">
        <v>1</v>
      </c>
      <c r="O141" s="5">
        <v>30</v>
      </c>
      <c r="P141">
        <f>N141*O141</f>
        <v>30</v>
      </c>
      <c r="Q141">
        <f>(P141*$U$4)</f>
        <v>0.44999999999999996</v>
      </c>
    </row>
    <row r="142" spans="1:17">
      <c r="A142" s="2">
        <v>141</v>
      </c>
      <c r="B142" s="4">
        <f>YEAR(H142)</f>
        <v>2023</v>
      </c>
      <c r="C142" s="4">
        <f>MONTH(H142)</f>
        <v>11</v>
      </c>
      <c r="D142" s="4">
        <f>DAY(H142)</f>
        <v>2</v>
      </c>
      <c r="E142" s="4" t="str">
        <f>TEXT(H142,"dddd")</f>
        <v>Thursday</v>
      </c>
      <c r="F142" s="4" t="str">
        <f t="shared" si="3"/>
        <v>November</v>
      </c>
      <c r="G142" s="4"/>
      <c r="H142" s="3">
        <v>45232</v>
      </c>
      <c r="I142" s="4" t="s">
        <v>176</v>
      </c>
      <c r="J142" s="4" t="s">
        <v>29</v>
      </c>
      <c r="K142" s="4">
        <v>58</v>
      </c>
      <c r="L142" s="4" t="str" cm="1">
        <f t="array" ref="L142">_xlfn.IFS(K142&gt;=50, "Senior", K142&gt;=30, "Adult", K142&lt;30, "Young Adult")</f>
        <v>Senior</v>
      </c>
      <c r="M142" s="4" t="s">
        <v>10</v>
      </c>
      <c r="N142" s="4">
        <v>1</v>
      </c>
      <c r="O142" s="5">
        <v>50</v>
      </c>
      <c r="P142">
        <f>N142*O142</f>
        <v>50</v>
      </c>
      <c r="Q142">
        <f>(P142*$U$4)</f>
        <v>0.75</v>
      </c>
    </row>
    <row r="143" spans="1:17">
      <c r="A143" s="2">
        <v>142</v>
      </c>
      <c r="B143" s="4">
        <f>YEAR(H143)</f>
        <v>2023</v>
      </c>
      <c r="C143" s="4">
        <f>MONTH(H143)</f>
        <v>2</v>
      </c>
      <c r="D143" s="4">
        <f>DAY(H143)</f>
        <v>2</v>
      </c>
      <c r="E143" s="4" t="str">
        <f>TEXT(H143,"dddd")</f>
        <v>Thursday</v>
      </c>
      <c r="F143" s="4" t="str">
        <f t="shared" si="3"/>
        <v>February</v>
      </c>
      <c r="G143" s="4"/>
      <c r="H143" s="3">
        <v>44959</v>
      </c>
      <c r="I143" s="4" t="s">
        <v>177</v>
      </c>
      <c r="J143" s="4" t="s">
        <v>27</v>
      </c>
      <c r="K143" s="4">
        <v>58</v>
      </c>
      <c r="L143" s="4" t="str" cm="1">
        <f t="array" ref="L143">_xlfn.IFS(K143&gt;=50, "Senior", K143&gt;=30, "Adult", K143&lt;30, "Young Adult")</f>
        <v>Senior</v>
      </c>
      <c r="M143" s="4" t="s">
        <v>10</v>
      </c>
      <c r="N143" s="4">
        <v>4</v>
      </c>
      <c r="O143" s="5">
        <v>300</v>
      </c>
      <c r="P143">
        <f>N143*O143</f>
        <v>1200</v>
      </c>
      <c r="Q143">
        <f>(P143*$U$4)</f>
        <v>18</v>
      </c>
    </row>
    <row r="144" spans="1:17">
      <c r="A144" s="2">
        <v>143</v>
      </c>
      <c r="B144" s="4">
        <f>YEAR(H144)</f>
        <v>2023</v>
      </c>
      <c r="C144" s="4">
        <f>MONTH(H144)</f>
        <v>7</v>
      </c>
      <c r="D144" s="4">
        <f>DAY(H144)</f>
        <v>17</v>
      </c>
      <c r="E144" s="4" t="str">
        <f>TEXT(H144,"dddd")</f>
        <v>Monday</v>
      </c>
      <c r="F144" s="4" t="str">
        <f t="shared" si="3"/>
        <v>July</v>
      </c>
      <c r="G144" s="4"/>
      <c r="H144" s="3">
        <v>45124</v>
      </c>
      <c r="I144" s="4" t="s">
        <v>178</v>
      </c>
      <c r="J144" s="4" t="s">
        <v>29</v>
      </c>
      <c r="K144" s="4">
        <v>58</v>
      </c>
      <c r="L144" s="4" t="str" cm="1">
        <f t="array" ref="L144">_xlfn.IFS(K144&gt;=50, "Senior", K144&gt;=30, "Adult", K144&lt;30, "Young Adult")</f>
        <v>Senior</v>
      </c>
      <c r="M144" s="4" t="s">
        <v>8</v>
      </c>
      <c r="N144" s="4">
        <v>1</v>
      </c>
      <c r="O144" s="5">
        <v>50</v>
      </c>
      <c r="P144">
        <f>N144*O144</f>
        <v>50</v>
      </c>
      <c r="Q144">
        <f>(P144*$U$4)</f>
        <v>0.75</v>
      </c>
    </row>
    <row r="145" spans="1:17">
      <c r="A145" s="2">
        <v>144</v>
      </c>
      <c r="B145" s="4">
        <f>YEAR(H145)</f>
        <v>2023</v>
      </c>
      <c r="C145" s="4">
        <f>MONTH(H145)</f>
        <v>7</v>
      </c>
      <c r="D145" s="4">
        <f>DAY(H145)</f>
        <v>15</v>
      </c>
      <c r="E145" s="4" t="str">
        <f>TEXT(H145,"dddd")</f>
        <v>Saturday</v>
      </c>
      <c r="F145" s="4" t="str">
        <f t="shared" si="3"/>
        <v>July</v>
      </c>
      <c r="G145" s="4"/>
      <c r="H145" s="3">
        <v>45122</v>
      </c>
      <c r="I145" s="4" t="s">
        <v>179</v>
      </c>
      <c r="J145" s="4" t="s">
        <v>29</v>
      </c>
      <c r="K145" s="4">
        <v>58</v>
      </c>
      <c r="L145" s="4" t="str" cm="1">
        <f t="array" ref="L145">_xlfn.IFS(K145&gt;=50, "Senior", K145&gt;=30, "Adult", K145&lt;30, "Young Adult")</f>
        <v>Senior</v>
      </c>
      <c r="M145" s="4" t="s">
        <v>3</v>
      </c>
      <c r="N145" s="4">
        <v>3</v>
      </c>
      <c r="O145" s="5">
        <v>500</v>
      </c>
      <c r="P145">
        <f>N145*O145</f>
        <v>1500</v>
      </c>
      <c r="Q145">
        <f>(P145*$U$4)</f>
        <v>22.5</v>
      </c>
    </row>
    <row r="146" spans="1:17">
      <c r="A146" s="2">
        <v>145</v>
      </c>
      <c r="B146" s="4">
        <f>YEAR(H146)</f>
        <v>2023</v>
      </c>
      <c r="C146" s="4">
        <f>MONTH(H146)</f>
        <v>11</v>
      </c>
      <c r="D146" s="4">
        <f>DAY(H146)</f>
        <v>2</v>
      </c>
      <c r="E146" s="4" t="str">
        <f>TEXT(H146,"dddd")</f>
        <v>Thursday</v>
      </c>
      <c r="F146" s="4" t="str">
        <f t="shared" si="3"/>
        <v>November</v>
      </c>
      <c r="G146" s="4"/>
      <c r="H146" s="3">
        <v>45232</v>
      </c>
      <c r="I146" s="4" t="s">
        <v>180</v>
      </c>
      <c r="J146" s="4" t="s">
        <v>29</v>
      </c>
      <c r="K146" s="4">
        <v>58</v>
      </c>
      <c r="L146" s="4" t="str" cm="1">
        <f t="array" ref="L146">_xlfn.IFS(K146&gt;=50, "Senior", K146&gt;=30, "Adult", K146&lt;30, "Young Adult")</f>
        <v>Senior</v>
      </c>
      <c r="M146" s="4" t="s">
        <v>8</v>
      </c>
      <c r="N146" s="4">
        <v>3</v>
      </c>
      <c r="O146" s="5">
        <v>25</v>
      </c>
      <c r="P146">
        <f>N146*O146</f>
        <v>75</v>
      </c>
      <c r="Q146">
        <f>(P146*$U$4)</f>
        <v>1.125</v>
      </c>
    </row>
    <row r="147" spans="1:17">
      <c r="A147" s="2">
        <v>146</v>
      </c>
      <c r="B147" s="4">
        <f>YEAR(H147)</f>
        <v>2023</v>
      </c>
      <c r="C147" s="4">
        <f>MONTH(H147)</f>
        <v>8</v>
      </c>
      <c r="D147" s="4">
        <f>DAY(H147)</f>
        <v>28</v>
      </c>
      <c r="E147" s="4" t="str">
        <f>TEXT(H147,"dddd")</f>
        <v>Monday</v>
      </c>
      <c r="F147" s="4" t="str">
        <f t="shared" si="3"/>
        <v>August</v>
      </c>
      <c r="G147" s="4"/>
      <c r="H147" s="3">
        <v>45166</v>
      </c>
      <c r="I147" s="4" t="s">
        <v>181</v>
      </c>
      <c r="J147" s="4" t="s">
        <v>27</v>
      </c>
      <c r="K147" s="4">
        <v>58</v>
      </c>
      <c r="L147" s="4" t="str" cm="1">
        <f t="array" ref="L147">_xlfn.IFS(K147&gt;=50, "Senior", K147&gt;=30, "Adult", K147&lt;30, "Young Adult")</f>
        <v>Senior</v>
      </c>
      <c r="M147" s="4" t="s">
        <v>8</v>
      </c>
      <c r="N147" s="4">
        <v>4</v>
      </c>
      <c r="O147" s="5">
        <v>50</v>
      </c>
      <c r="P147">
        <f>N147*O147</f>
        <v>200</v>
      </c>
      <c r="Q147">
        <f>(P147*$U$4)</f>
        <v>3</v>
      </c>
    </row>
    <row r="148" spans="1:17">
      <c r="A148" s="2">
        <v>147</v>
      </c>
      <c r="B148" s="4">
        <f>YEAR(H148)</f>
        <v>2023</v>
      </c>
      <c r="C148" s="4">
        <f>MONTH(H148)</f>
        <v>9</v>
      </c>
      <c r="D148" s="4">
        <f>DAY(H148)</f>
        <v>28</v>
      </c>
      <c r="E148" s="4" t="str">
        <f>TEXT(H148,"dddd")</f>
        <v>Thursday</v>
      </c>
      <c r="F148" s="4" t="str">
        <f t="shared" si="3"/>
        <v>September</v>
      </c>
      <c r="G148" s="4"/>
      <c r="H148" s="3">
        <v>45197</v>
      </c>
      <c r="I148" s="4" t="s">
        <v>182</v>
      </c>
      <c r="J148" s="4" t="s">
        <v>27</v>
      </c>
      <c r="K148" s="4">
        <v>57</v>
      </c>
      <c r="L148" s="4" t="str" cm="1">
        <f t="array" ref="L148">_xlfn.IFS(K148&gt;=50, "Senior", K148&gt;=30, "Adult", K148&lt;30, "Young Adult")</f>
        <v>Senior</v>
      </c>
      <c r="M148" s="4" t="s">
        <v>10</v>
      </c>
      <c r="N148" s="4">
        <v>1</v>
      </c>
      <c r="O148" s="5">
        <v>300</v>
      </c>
      <c r="P148">
        <f>N148*O148</f>
        <v>300</v>
      </c>
      <c r="Q148">
        <f>(P148*$U$4)</f>
        <v>4.5</v>
      </c>
    </row>
    <row r="149" spans="1:17">
      <c r="A149" s="2">
        <v>148</v>
      </c>
      <c r="B149" s="4">
        <f>YEAR(H149)</f>
        <v>2023</v>
      </c>
      <c r="C149" s="4">
        <f>MONTH(H149)</f>
        <v>5</v>
      </c>
      <c r="D149" s="4">
        <f>DAY(H149)</f>
        <v>9</v>
      </c>
      <c r="E149" s="4" t="str">
        <f>TEXT(H149,"dddd")</f>
        <v>Tuesday</v>
      </c>
      <c r="F149" s="4" t="str">
        <f t="shared" si="3"/>
        <v>May</v>
      </c>
      <c r="G149" s="4"/>
      <c r="H149" s="3">
        <v>45055</v>
      </c>
      <c r="I149" s="4" t="s">
        <v>183</v>
      </c>
      <c r="J149" s="4" t="s">
        <v>27</v>
      </c>
      <c r="K149" s="4">
        <v>57</v>
      </c>
      <c r="L149" s="4" t="str" cm="1">
        <f t="array" ref="L149">_xlfn.IFS(K149&gt;=50, "Senior", K149&gt;=30, "Adult", K149&lt;30, "Young Adult")</f>
        <v>Senior</v>
      </c>
      <c r="M149" s="4" t="s">
        <v>8</v>
      </c>
      <c r="N149" s="4">
        <v>2</v>
      </c>
      <c r="O149" s="5">
        <v>30</v>
      </c>
      <c r="P149">
        <f>N149*O149</f>
        <v>60</v>
      </c>
      <c r="Q149">
        <f>(P149*$U$4)</f>
        <v>0.89999999999999991</v>
      </c>
    </row>
    <row r="150" spans="1:17">
      <c r="A150" s="2">
        <v>149</v>
      </c>
      <c r="B150" s="4">
        <f>YEAR(H150)</f>
        <v>2023</v>
      </c>
      <c r="C150" s="4">
        <f>MONTH(H150)</f>
        <v>10</v>
      </c>
      <c r="D150" s="4">
        <f>DAY(H150)</f>
        <v>11</v>
      </c>
      <c r="E150" s="4" t="str">
        <f>TEXT(H150,"dddd")</f>
        <v>Wednesday</v>
      </c>
      <c r="F150" s="4" t="str">
        <f t="shared" si="3"/>
        <v>October</v>
      </c>
      <c r="G150" s="4"/>
      <c r="H150" s="3">
        <v>45210</v>
      </c>
      <c r="I150" s="4" t="s">
        <v>184</v>
      </c>
      <c r="J150" s="4" t="s">
        <v>27</v>
      </c>
      <c r="K150" s="4">
        <v>57</v>
      </c>
      <c r="L150" s="4" t="str" cm="1">
        <f t="array" ref="L150">_xlfn.IFS(K150&gt;=50, "Senior", K150&gt;=30, "Adult", K150&lt;30, "Young Adult")</f>
        <v>Senior</v>
      </c>
      <c r="M150" s="4" t="s">
        <v>8</v>
      </c>
      <c r="N150" s="4">
        <v>3</v>
      </c>
      <c r="O150" s="5">
        <v>25</v>
      </c>
      <c r="P150">
        <f>N150*O150</f>
        <v>75</v>
      </c>
      <c r="Q150">
        <f>(P150*$U$4)</f>
        <v>1.125</v>
      </c>
    </row>
    <row r="151" spans="1:17">
      <c r="A151" s="2">
        <v>150</v>
      </c>
      <c r="B151" s="4">
        <f>YEAR(H151)</f>
        <v>2023</v>
      </c>
      <c r="C151" s="4">
        <f>MONTH(H151)</f>
        <v>1</v>
      </c>
      <c r="D151" s="4">
        <f>DAY(H151)</f>
        <v>6</v>
      </c>
      <c r="E151" s="4" t="str">
        <f>TEXT(H151,"dddd")</f>
        <v>Friday</v>
      </c>
      <c r="F151" s="4" t="str">
        <f t="shared" si="3"/>
        <v>January</v>
      </c>
      <c r="G151" s="4"/>
      <c r="H151" s="3">
        <v>44932</v>
      </c>
      <c r="I151" s="4" t="s">
        <v>185</v>
      </c>
      <c r="J151" s="4" t="s">
        <v>29</v>
      </c>
      <c r="K151" s="4">
        <v>57</v>
      </c>
      <c r="L151" s="4" t="str" cm="1">
        <f t="array" ref="L151">_xlfn.IFS(K151&gt;=50, "Senior", K151&gt;=30, "Adult", K151&lt;30, "Young Adult")</f>
        <v>Senior</v>
      </c>
      <c r="M151" s="4" t="s">
        <v>10</v>
      </c>
      <c r="N151" s="4">
        <v>4</v>
      </c>
      <c r="O151" s="5">
        <v>30</v>
      </c>
      <c r="P151">
        <f>N151*O151</f>
        <v>120</v>
      </c>
      <c r="Q151">
        <f>(P151*$U$4)</f>
        <v>1.7999999999999998</v>
      </c>
    </row>
    <row r="152" spans="1:17">
      <c r="A152" s="2">
        <v>151</v>
      </c>
      <c r="B152" s="4">
        <f>YEAR(H152)</f>
        <v>2023</v>
      </c>
      <c r="C152" s="4">
        <f>MONTH(H152)</f>
        <v>12</v>
      </c>
      <c r="D152" s="4">
        <f>DAY(H152)</f>
        <v>15</v>
      </c>
      <c r="E152" s="4" t="str">
        <f>TEXT(H152,"dddd")</f>
        <v>Friday</v>
      </c>
      <c r="F152" s="4" t="str">
        <f t="shared" si="3"/>
        <v>December</v>
      </c>
      <c r="G152" s="4"/>
      <c r="H152" s="3">
        <v>45275</v>
      </c>
      <c r="I152" s="4" t="s">
        <v>186</v>
      </c>
      <c r="J152" s="4" t="s">
        <v>27</v>
      </c>
      <c r="K152" s="4">
        <v>57</v>
      </c>
      <c r="L152" s="4" t="str" cm="1">
        <f t="array" ref="L152">_xlfn.IFS(K152&gt;=50, "Senior", K152&gt;=30, "Adult", K152&lt;30, "Young Adult")</f>
        <v>Senior</v>
      </c>
      <c r="M152" s="4" t="s">
        <v>8</v>
      </c>
      <c r="N152" s="4">
        <v>1</v>
      </c>
      <c r="O152" s="5">
        <v>50</v>
      </c>
      <c r="P152">
        <f>N152*O152</f>
        <v>50</v>
      </c>
      <c r="Q152">
        <f>(P152*$U$4)</f>
        <v>0.75</v>
      </c>
    </row>
    <row r="153" spans="1:17">
      <c r="A153" s="2">
        <v>152</v>
      </c>
      <c r="B153" s="4">
        <f>YEAR(H153)</f>
        <v>2023</v>
      </c>
      <c r="C153" s="4">
        <f>MONTH(H153)</f>
        <v>2</v>
      </c>
      <c r="D153" s="4">
        <f>DAY(H153)</f>
        <v>28</v>
      </c>
      <c r="E153" s="4" t="str">
        <f>TEXT(H153,"dddd")</f>
        <v>Tuesday</v>
      </c>
      <c r="F153" s="4" t="str">
        <f t="shared" si="3"/>
        <v>February</v>
      </c>
      <c r="G153" s="4"/>
      <c r="H153" s="3">
        <v>44985</v>
      </c>
      <c r="I153" s="4" t="s">
        <v>187</v>
      </c>
      <c r="J153" s="4" t="s">
        <v>27</v>
      </c>
      <c r="K153" s="4">
        <v>57</v>
      </c>
      <c r="L153" s="4" t="str" cm="1">
        <f t="array" ref="L153">_xlfn.IFS(K153&gt;=50, "Senior", K153&gt;=30, "Adult", K153&lt;30, "Young Adult")</f>
        <v>Senior</v>
      </c>
      <c r="M153" s="4" t="s">
        <v>10</v>
      </c>
      <c r="N153" s="4">
        <v>4</v>
      </c>
      <c r="O153" s="5">
        <v>500</v>
      </c>
      <c r="P153">
        <f>N153*O153</f>
        <v>2000</v>
      </c>
      <c r="Q153">
        <f>(P153*$U$4)</f>
        <v>30</v>
      </c>
    </row>
    <row r="154" spans="1:17">
      <c r="A154" s="2">
        <v>153</v>
      </c>
      <c r="B154" s="4">
        <f>YEAR(H154)</f>
        <v>2023</v>
      </c>
      <c r="C154" s="4">
        <f>MONTH(H154)</f>
        <v>12</v>
      </c>
      <c r="D154" s="4">
        <f>DAY(H154)</f>
        <v>16</v>
      </c>
      <c r="E154" s="4" t="str">
        <f>TEXT(H154,"dddd")</f>
        <v>Saturday</v>
      </c>
      <c r="F154" s="4" t="str">
        <f t="shared" si="3"/>
        <v>December</v>
      </c>
      <c r="G154" s="4"/>
      <c r="H154" s="3">
        <v>45276</v>
      </c>
      <c r="I154" s="4" t="s">
        <v>188</v>
      </c>
      <c r="J154" s="4" t="s">
        <v>27</v>
      </c>
      <c r="K154" s="4">
        <v>57</v>
      </c>
      <c r="L154" s="4" t="str" cm="1">
        <f t="array" ref="L154">_xlfn.IFS(K154&gt;=50, "Senior", K154&gt;=30, "Adult", K154&lt;30, "Young Adult")</f>
        <v>Senior</v>
      </c>
      <c r="M154" s="4" t="s">
        <v>10</v>
      </c>
      <c r="N154" s="4">
        <v>2</v>
      </c>
      <c r="O154" s="5">
        <v>500</v>
      </c>
      <c r="P154">
        <f>N154*O154</f>
        <v>1000</v>
      </c>
      <c r="Q154">
        <f>(P154*$U$4)</f>
        <v>15</v>
      </c>
    </row>
    <row r="155" spans="1:17">
      <c r="A155" s="2">
        <v>154</v>
      </c>
      <c r="B155" s="4">
        <f>YEAR(H155)</f>
        <v>2023</v>
      </c>
      <c r="C155" s="4">
        <f>MONTH(H155)</f>
        <v>10</v>
      </c>
      <c r="D155" s="4">
        <f>DAY(H155)</f>
        <v>2</v>
      </c>
      <c r="E155" s="4" t="str">
        <f>TEXT(H155,"dddd")</f>
        <v>Monday</v>
      </c>
      <c r="F155" s="4" t="str">
        <f t="shared" si="3"/>
        <v>October</v>
      </c>
      <c r="G155" s="4"/>
      <c r="H155" s="3">
        <v>45201</v>
      </c>
      <c r="I155" s="4" t="s">
        <v>189</v>
      </c>
      <c r="J155" s="4" t="s">
        <v>27</v>
      </c>
      <c r="K155" s="4">
        <v>57</v>
      </c>
      <c r="L155" s="4" t="str" cm="1">
        <f t="array" ref="L155">_xlfn.IFS(K155&gt;=50, "Senior", K155&gt;=30, "Adult", K155&lt;30, "Young Adult")</f>
        <v>Senior</v>
      </c>
      <c r="M155" s="4" t="s">
        <v>10</v>
      </c>
      <c r="N155" s="4">
        <v>3</v>
      </c>
      <c r="O155" s="5">
        <v>300</v>
      </c>
      <c r="P155">
        <f>N155*O155</f>
        <v>900</v>
      </c>
      <c r="Q155">
        <f>(P155*$U$4)</f>
        <v>13.5</v>
      </c>
    </row>
    <row r="156" spans="1:17">
      <c r="A156" s="2">
        <v>155</v>
      </c>
      <c r="B156" s="4">
        <f>YEAR(H156)</f>
        <v>2023</v>
      </c>
      <c r="C156" s="4">
        <f>MONTH(H156)</f>
        <v>5</v>
      </c>
      <c r="D156" s="4">
        <f>DAY(H156)</f>
        <v>17</v>
      </c>
      <c r="E156" s="4" t="str">
        <f>TEXT(H156,"dddd")</f>
        <v>Wednesday</v>
      </c>
      <c r="F156" s="4" t="str">
        <f t="shared" si="3"/>
        <v>May</v>
      </c>
      <c r="G156" s="4"/>
      <c r="H156" s="3">
        <v>45063</v>
      </c>
      <c r="I156" s="4" t="s">
        <v>190</v>
      </c>
      <c r="J156" s="4" t="s">
        <v>27</v>
      </c>
      <c r="K156" s="4">
        <v>57</v>
      </c>
      <c r="L156" s="4" t="str" cm="1">
        <f t="array" ref="L156">_xlfn.IFS(K156&gt;=50, "Senior", K156&gt;=30, "Adult", K156&lt;30, "Young Adult")</f>
        <v>Senior</v>
      </c>
      <c r="M156" s="4" t="s">
        <v>10</v>
      </c>
      <c r="N156" s="4">
        <v>4</v>
      </c>
      <c r="O156" s="5">
        <v>500</v>
      </c>
      <c r="P156">
        <f>N156*O156</f>
        <v>2000</v>
      </c>
      <c r="Q156">
        <f>(P156*$U$4)</f>
        <v>30</v>
      </c>
    </row>
    <row r="157" spans="1:17">
      <c r="A157" s="2">
        <v>156</v>
      </c>
      <c r="B157" s="4">
        <f>YEAR(H157)</f>
        <v>2023</v>
      </c>
      <c r="C157" s="4">
        <f>MONTH(H157)</f>
        <v>11</v>
      </c>
      <c r="D157" s="4">
        <f>DAY(H157)</f>
        <v>25</v>
      </c>
      <c r="E157" s="4" t="str">
        <f>TEXT(H157,"dddd")</f>
        <v>Saturday</v>
      </c>
      <c r="F157" s="4" t="str">
        <f t="shared" si="3"/>
        <v>November</v>
      </c>
      <c r="G157" s="4"/>
      <c r="H157" s="3">
        <v>45255</v>
      </c>
      <c r="I157" s="4" t="s">
        <v>191</v>
      </c>
      <c r="J157" s="4" t="s">
        <v>29</v>
      </c>
      <c r="K157" s="4">
        <v>57</v>
      </c>
      <c r="L157" s="4" t="str" cm="1">
        <f t="array" ref="L157">_xlfn.IFS(K157&gt;=50, "Senior", K157&gt;=30, "Adult", K157&lt;30, "Young Adult")</f>
        <v>Senior</v>
      </c>
      <c r="M157" s="4" t="s">
        <v>8</v>
      </c>
      <c r="N157" s="4">
        <v>4</v>
      </c>
      <c r="O157" s="5">
        <v>25</v>
      </c>
      <c r="P157">
        <f>N157*O157</f>
        <v>100</v>
      </c>
      <c r="Q157">
        <f>(P157*$U$4)</f>
        <v>1.5</v>
      </c>
    </row>
    <row r="158" spans="1:17">
      <c r="A158" s="2">
        <v>157</v>
      </c>
      <c r="B158" s="4">
        <f>YEAR(H158)</f>
        <v>2023</v>
      </c>
      <c r="C158" s="4">
        <f>MONTH(H158)</f>
        <v>6</v>
      </c>
      <c r="D158" s="4">
        <f>DAY(H158)</f>
        <v>24</v>
      </c>
      <c r="E158" s="4" t="str">
        <f>TEXT(H158,"dddd")</f>
        <v>Saturday</v>
      </c>
      <c r="F158" s="4" t="str">
        <f t="shared" si="3"/>
        <v>June</v>
      </c>
      <c r="G158" s="4"/>
      <c r="H158" s="3">
        <v>45101</v>
      </c>
      <c r="I158" s="4" t="s">
        <v>192</v>
      </c>
      <c r="J158" s="4" t="s">
        <v>27</v>
      </c>
      <c r="K158" s="4">
        <v>57</v>
      </c>
      <c r="L158" s="4" t="str" cm="1">
        <f t="array" ref="L158">_xlfn.IFS(K158&gt;=50, "Senior", K158&gt;=30, "Adult", K158&lt;30, "Young Adult")</f>
        <v>Senior</v>
      </c>
      <c r="M158" s="4" t="s">
        <v>10</v>
      </c>
      <c r="N158" s="4">
        <v>4</v>
      </c>
      <c r="O158" s="5">
        <v>500</v>
      </c>
      <c r="P158">
        <f>N158*O158</f>
        <v>2000</v>
      </c>
      <c r="Q158">
        <f>(P158*$U$4)</f>
        <v>30</v>
      </c>
    </row>
    <row r="159" spans="1:17">
      <c r="A159" s="2">
        <v>158</v>
      </c>
      <c r="B159" s="4">
        <f>YEAR(H159)</f>
        <v>2023</v>
      </c>
      <c r="C159" s="4">
        <f>MONTH(H159)</f>
        <v>2</v>
      </c>
      <c r="D159" s="4">
        <f>DAY(H159)</f>
        <v>27</v>
      </c>
      <c r="E159" s="4" t="str">
        <f>TEXT(H159,"dddd")</f>
        <v>Monday</v>
      </c>
      <c r="F159" s="4" t="str">
        <f t="shared" si="3"/>
        <v>February</v>
      </c>
      <c r="G159" s="4"/>
      <c r="H159" s="3">
        <v>44984</v>
      </c>
      <c r="I159" s="4" t="s">
        <v>193</v>
      </c>
      <c r="J159" s="4" t="s">
        <v>29</v>
      </c>
      <c r="K159" s="4">
        <v>57</v>
      </c>
      <c r="L159" s="4" t="str" cm="1">
        <f t="array" ref="L159">_xlfn.IFS(K159&gt;=50, "Senior", K159&gt;=30, "Adult", K159&lt;30, "Young Adult")</f>
        <v>Senior</v>
      </c>
      <c r="M159" s="4" t="s">
        <v>10</v>
      </c>
      <c r="N159" s="4">
        <v>2</v>
      </c>
      <c r="O159" s="5">
        <v>300</v>
      </c>
      <c r="P159">
        <f>N159*O159</f>
        <v>600</v>
      </c>
      <c r="Q159">
        <f>(P159*$U$4)</f>
        <v>9</v>
      </c>
    </row>
    <row r="160" spans="1:17">
      <c r="A160" s="2">
        <v>159</v>
      </c>
      <c r="B160" s="4">
        <f>YEAR(H160)</f>
        <v>2023</v>
      </c>
      <c r="C160" s="4">
        <f>MONTH(H160)</f>
        <v>5</v>
      </c>
      <c r="D160" s="4">
        <f>DAY(H160)</f>
        <v>31</v>
      </c>
      <c r="E160" s="4" t="str">
        <f>TEXT(H160,"dddd")</f>
        <v>Wednesday</v>
      </c>
      <c r="F160" s="4" t="str">
        <f t="shared" si="3"/>
        <v>May</v>
      </c>
      <c r="G160" s="4"/>
      <c r="H160" s="3">
        <v>45077</v>
      </c>
      <c r="I160" s="4" t="s">
        <v>194</v>
      </c>
      <c r="J160" s="4" t="s">
        <v>27</v>
      </c>
      <c r="K160" s="4">
        <v>57</v>
      </c>
      <c r="L160" s="4" t="str" cm="1">
        <f t="array" ref="L160">_xlfn.IFS(K160&gt;=50, "Senior", K160&gt;=30, "Adult", K160&lt;30, "Young Adult")</f>
        <v>Senior</v>
      </c>
      <c r="M160" s="4" t="s">
        <v>8</v>
      </c>
      <c r="N160" s="4">
        <v>4</v>
      </c>
      <c r="O160" s="5">
        <v>50</v>
      </c>
      <c r="P160">
        <f>N160*O160</f>
        <v>200</v>
      </c>
      <c r="Q160">
        <f>(P160*$U$4)</f>
        <v>3</v>
      </c>
    </row>
    <row r="161" spans="1:17">
      <c r="A161" s="2">
        <v>160</v>
      </c>
      <c r="B161" s="4">
        <f>YEAR(H161)</f>
        <v>2023</v>
      </c>
      <c r="C161" s="4">
        <f>MONTH(H161)</f>
        <v>8</v>
      </c>
      <c r="D161" s="4">
        <f>DAY(H161)</f>
        <v>11</v>
      </c>
      <c r="E161" s="4" t="str">
        <f>TEXT(H161,"dddd")</f>
        <v>Friday</v>
      </c>
      <c r="F161" s="4" t="str">
        <f t="shared" si="3"/>
        <v>August</v>
      </c>
      <c r="G161" s="4"/>
      <c r="H161" s="3">
        <v>45149</v>
      </c>
      <c r="I161" s="4" t="s">
        <v>195</v>
      </c>
      <c r="J161" s="4" t="s">
        <v>29</v>
      </c>
      <c r="K161" s="4">
        <v>57</v>
      </c>
      <c r="L161" s="4" t="str" cm="1">
        <f t="array" ref="L161">_xlfn.IFS(K161&gt;=50, "Senior", K161&gt;=30, "Adult", K161&lt;30, "Young Adult")</f>
        <v>Senior</v>
      </c>
      <c r="M161" s="4" t="s">
        <v>8</v>
      </c>
      <c r="N161" s="4">
        <v>2</v>
      </c>
      <c r="O161" s="5">
        <v>50</v>
      </c>
      <c r="P161">
        <f>N161*O161</f>
        <v>100</v>
      </c>
      <c r="Q161">
        <f>(P161*$U$4)</f>
        <v>1.5</v>
      </c>
    </row>
    <row r="162" spans="1:17">
      <c r="A162" s="2">
        <v>161</v>
      </c>
      <c r="B162" s="4">
        <f>YEAR(H162)</f>
        <v>2023</v>
      </c>
      <c r="C162" s="4">
        <f>MONTH(H162)</f>
        <v>3</v>
      </c>
      <c r="D162" s="4">
        <f>DAY(H162)</f>
        <v>22</v>
      </c>
      <c r="E162" s="4" t="str">
        <f>TEXT(H162,"dddd")</f>
        <v>Wednesday</v>
      </c>
      <c r="F162" s="4" t="str">
        <f t="shared" si="3"/>
        <v>March</v>
      </c>
      <c r="G162" s="4"/>
      <c r="H162" s="3">
        <v>45007</v>
      </c>
      <c r="I162" s="4" t="s">
        <v>196</v>
      </c>
      <c r="J162" s="4" t="s">
        <v>27</v>
      </c>
      <c r="K162" s="4">
        <v>57</v>
      </c>
      <c r="L162" s="4" t="str" cm="1">
        <f t="array" ref="L162">_xlfn.IFS(K162&gt;=50, "Senior", K162&gt;=30, "Adult", K162&lt;30, "Young Adult")</f>
        <v>Senior</v>
      </c>
      <c r="M162" s="4" t="s">
        <v>3</v>
      </c>
      <c r="N162" s="4">
        <v>2</v>
      </c>
      <c r="O162" s="5">
        <v>500</v>
      </c>
      <c r="P162">
        <f>N162*O162</f>
        <v>1000</v>
      </c>
      <c r="Q162">
        <f>(P162*$U$4)</f>
        <v>15</v>
      </c>
    </row>
    <row r="163" spans="1:17">
      <c r="A163" s="2">
        <v>162</v>
      </c>
      <c r="B163" s="4">
        <f>YEAR(H163)</f>
        <v>2023</v>
      </c>
      <c r="C163" s="4">
        <f>MONTH(H163)</f>
        <v>8</v>
      </c>
      <c r="D163" s="4">
        <f>DAY(H163)</f>
        <v>21</v>
      </c>
      <c r="E163" s="4" t="str">
        <f>TEXT(H163,"dddd")</f>
        <v>Monday</v>
      </c>
      <c r="F163" s="4" t="str">
        <f t="shared" si="3"/>
        <v>August</v>
      </c>
      <c r="G163" s="4"/>
      <c r="H163" s="3">
        <v>45159</v>
      </c>
      <c r="I163" s="4" t="s">
        <v>197</v>
      </c>
      <c r="J163" s="4" t="s">
        <v>27</v>
      </c>
      <c r="K163" s="4">
        <v>57</v>
      </c>
      <c r="L163" s="4" t="str" cm="1">
        <f t="array" ref="L163">_xlfn.IFS(K163&gt;=50, "Senior", K163&gt;=30, "Adult", K163&lt;30, "Young Adult")</f>
        <v>Senior</v>
      </c>
      <c r="M163" s="4" t="s">
        <v>8</v>
      </c>
      <c r="N163" s="4">
        <v>2</v>
      </c>
      <c r="O163" s="5">
        <v>30</v>
      </c>
      <c r="P163">
        <f>N163*O163</f>
        <v>60</v>
      </c>
      <c r="Q163">
        <f>(P163*$U$4)</f>
        <v>0.89999999999999991</v>
      </c>
    </row>
    <row r="164" spans="1:17">
      <c r="A164" s="2">
        <v>163</v>
      </c>
      <c r="B164" s="4">
        <f>YEAR(H164)</f>
        <v>2023</v>
      </c>
      <c r="C164" s="4">
        <f>MONTH(H164)</f>
        <v>1</v>
      </c>
      <c r="D164" s="4">
        <f>DAY(H164)</f>
        <v>2</v>
      </c>
      <c r="E164" s="4" t="str">
        <f>TEXT(H164,"dddd")</f>
        <v>Monday</v>
      </c>
      <c r="F164" s="4" t="str">
        <f t="shared" si="3"/>
        <v>January</v>
      </c>
      <c r="G164" s="4"/>
      <c r="H164" s="3">
        <v>44928</v>
      </c>
      <c r="I164" s="4" t="s">
        <v>198</v>
      </c>
      <c r="J164" s="4" t="s">
        <v>29</v>
      </c>
      <c r="K164" s="4">
        <v>57</v>
      </c>
      <c r="L164" s="4" t="str" cm="1">
        <f t="array" ref="L164">_xlfn.IFS(K164&gt;=50, "Senior", K164&gt;=30, "Adult", K164&lt;30, "Young Adult")</f>
        <v>Senior</v>
      </c>
      <c r="M164" s="4" t="s">
        <v>8</v>
      </c>
      <c r="N164" s="4">
        <v>3</v>
      </c>
      <c r="O164" s="5">
        <v>50</v>
      </c>
      <c r="P164">
        <f>N164*O164</f>
        <v>150</v>
      </c>
      <c r="Q164">
        <f>(P164*$U$4)</f>
        <v>2.25</v>
      </c>
    </row>
    <row r="165" spans="1:17">
      <c r="A165" s="2">
        <v>164</v>
      </c>
      <c r="B165" s="4">
        <f>YEAR(H165)</f>
        <v>2023</v>
      </c>
      <c r="C165" s="4">
        <f>MONTH(H165)</f>
        <v>5</v>
      </c>
      <c r="D165" s="4">
        <f>DAY(H165)</f>
        <v>15</v>
      </c>
      <c r="E165" s="4" t="str">
        <f>TEXT(H165,"dddd")</f>
        <v>Monday</v>
      </c>
      <c r="F165" s="4" t="str">
        <f t="shared" si="3"/>
        <v>May</v>
      </c>
      <c r="G165" s="4"/>
      <c r="H165" s="3">
        <v>45061</v>
      </c>
      <c r="I165" s="4" t="s">
        <v>199</v>
      </c>
      <c r="J165" s="4" t="s">
        <v>29</v>
      </c>
      <c r="K165" s="4">
        <v>57</v>
      </c>
      <c r="L165" s="4" t="str" cm="1">
        <f t="array" ref="L165">_xlfn.IFS(K165&gt;=50, "Senior", K165&gt;=30, "Adult", K165&lt;30, "Young Adult")</f>
        <v>Senior</v>
      </c>
      <c r="M165" s="4" t="s">
        <v>3</v>
      </c>
      <c r="N165" s="4">
        <v>3</v>
      </c>
      <c r="O165" s="5">
        <v>500</v>
      </c>
      <c r="P165">
        <f>N165*O165</f>
        <v>1500</v>
      </c>
      <c r="Q165">
        <f>(P165*$U$4)</f>
        <v>22.5</v>
      </c>
    </row>
    <row r="166" spans="1:17">
      <c r="A166" s="2">
        <v>165</v>
      </c>
      <c r="B166" s="4">
        <f>YEAR(H166)</f>
        <v>2023</v>
      </c>
      <c r="C166" s="4">
        <f>MONTH(H166)</f>
        <v>9</v>
      </c>
      <c r="D166" s="4">
        <f>DAY(H166)</f>
        <v>14</v>
      </c>
      <c r="E166" s="4" t="str">
        <f>TEXT(H166,"dddd")</f>
        <v>Thursday</v>
      </c>
      <c r="F166" s="4" t="str">
        <f t="shared" si="3"/>
        <v>September</v>
      </c>
      <c r="G166" s="4"/>
      <c r="H166" s="3">
        <v>45183</v>
      </c>
      <c r="I166" s="4" t="s">
        <v>200</v>
      </c>
      <c r="J166" s="4" t="s">
        <v>29</v>
      </c>
      <c r="K166" s="4">
        <v>57</v>
      </c>
      <c r="L166" s="4" t="str" cm="1">
        <f t="array" ref="L166">_xlfn.IFS(K166&gt;=50, "Senior", K166&gt;=30, "Adult", K166&lt;30, "Young Adult")</f>
        <v>Senior</v>
      </c>
      <c r="M166" s="4" t="s">
        <v>8</v>
      </c>
      <c r="N166" s="4">
        <v>4</v>
      </c>
      <c r="O166" s="5">
        <v>300</v>
      </c>
      <c r="P166">
        <f>N166*O166</f>
        <v>1200</v>
      </c>
      <c r="Q166">
        <f>(P166*$U$4)</f>
        <v>18</v>
      </c>
    </row>
    <row r="167" spans="1:17">
      <c r="A167" s="2">
        <v>166</v>
      </c>
      <c r="B167" s="4">
        <f>YEAR(H167)</f>
        <v>2023</v>
      </c>
      <c r="C167" s="4">
        <f>MONTH(H167)</f>
        <v>4</v>
      </c>
      <c r="D167" s="4">
        <f>DAY(H167)</f>
        <v>2</v>
      </c>
      <c r="E167" s="4" t="str">
        <f>TEXT(H167,"dddd")</f>
        <v>Sunday</v>
      </c>
      <c r="F167" s="4" t="str">
        <f t="shared" si="3"/>
        <v>April</v>
      </c>
      <c r="G167" s="4"/>
      <c r="H167" s="3">
        <v>45018</v>
      </c>
      <c r="I167" s="4" t="s">
        <v>201</v>
      </c>
      <c r="J167" s="4" t="s">
        <v>27</v>
      </c>
      <c r="K167" s="4">
        <v>57</v>
      </c>
      <c r="L167" s="4" t="str" cm="1">
        <f t="array" ref="L167">_xlfn.IFS(K167&gt;=50, "Senior", K167&gt;=30, "Adult", K167&lt;30, "Young Adult")</f>
        <v>Senior</v>
      </c>
      <c r="M167" s="4" t="s">
        <v>8</v>
      </c>
      <c r="N167" s="4">
        <v>4</v>
      </c>
      <c r="O167" s="5">
        <v>500</v>
      </c>
      <c r="P167">
        <f>N167*O167</f>
        <v>2000</v>
      </c>
      <c r="Q167">
        <f>(P167*$U$4)</f>
        <v>30</v>
      </c>
    </row>
    <row r="168" spans="1:17">
      <c r="A168" s="2">
        <v>167</v>
      </c>
      <c r="B168" s="4">
        <f>YEAR(H168)</f>
        <v>2023</v>
      </c>
      <c r="C168" s="4">
        <f>MONTH(H168)</f>
        <v>9</v>
      </c>
      <c r="D168" s="4">
        <f>DAY(H168)</f>
        <v>17</v>
      </c>
      <c r="E168" s="4" t="str">
        <f>TEXT(H168,"dddd")</f>
        <v>Sunday</v>
      </c>
      <c r="F168" s="4" t="str">
        <f t="shared" si="3"/>
        <v>September</v>
      </c>
      <c r="G168" s="4"/>
      <c r="H168" s="3">
        <v>45186</v>
      </c>
      <c r="I168" s="4" t="s">
        <v>202</v>
      </c>
      <c r="J168" s="4" t="s">
        <v>29</v>
      </c>
      <c r="K168" s="4">
        <v>57</v>
      </c>
      <c r="L168" s="4" t="str" cm="1">
        <f t="array" ref="L168">_xlfn.IFS(K168&gt;=50, "Senior", K168&gt;=30, "Adult", K168&lt;30, "Young Adult")</f>
        <v>Senior</v>
      </c>
      <c r="M168" s="4" t="s">
        <v>8</v>
      </c>
      <c r="N168" s="4">
        <v>3</v>
      </c>
      <c r="O168" s="5">
        <v>50</v>
      </c>
      <c r="P168">
        <f>N168*O168</f>
        <v>150</v>
      </c>
      <c r="Q168">
        <f>(P168*$U$4)</f>
        <v>2.25</v>
      </c>
    </row>
    <row r="169" spans="1:17">
      <c r="A169" s="2">
        <v>168</v>
      </c>
      <c r="B169" s="4">
        <f>YEAR(H169)</f>
        <v>2023</v>
      </c>
      <c r="C169" s="4">
        <f>MONTH(H169)</f>
        <v>2</v>
      </c>
      <c r="D169" s="4">
        <f>DAY(H169)</f>
        <v>24</v>
      </c>
      <c r="E169" s="4" t="str">
        <f>TEXT(H169,"dddd")</f>
        <v>Friday</v>
      </c>
      <c r="F169" s="4" t="str">
        <f t="shared" si="3"/>
        <v>February</v>
      </c>
      <c r="G169" s="4"/>
      <c r="H169" s="3">
        <v>44981</v>
      </c>
      <c r="I169" s="4" t="s">
        <v>203</v>
      </c>
      <c r="J169" s="4" t="s">
        <v>27</v>
      </c>
      <c r="K169" s="4">
        <v>57</v>
      </c>
      <c r="L169" s="4" t="str" cm="1">
        <f t="array" ref="L169">_xlfn.IFS(K169&gt;=50, "Senior", K169&gt;=30, "Adult", K169&lt;30, "Young Adult")</f>
        <v>Senior</v>
      </c>
      <c r="M169" s="4" t="s">
        <v>8</v>
      </c>
      <c r="N169" s="4">
        <v>1</v>
      </c>
      <c r="O169" s="5">
        <v>300</v>
      </c>
      <c r="P169">
        <f>N169*O169</f>
        <v>300</v>
      </c>
      <c r="Q169">
        <f>(P169*$U$4)</f>
        <v>4.5</v>
      </c>
    </row>
    <row r="170" spans="1:17">
      <c r="A170" s="2">
        <v>169</v>
      </c>
      <c r="B170" s="4">
        <f>YEAR(H170)</f>
        <v>2023</v>
      </c>
      <c r="C170" s="4">
        <f>MONTH(H170)</f>
        <v>11</v>
      </c>
      <c r="D170" s="4">
        <f>DAY(H170)</f>
        <v>17</v>
      </c>
      <c r="E170" s="4" t="str">
        <f>TEXT(H170,"dddd")</f>
        <v>Friday</v>
      </c>
      <c r="F170" s="4" t="str">
        <f t="shared" si="3"/>
        <v>November</v>
      </c>
      <c r="G170" s="4"/>
      <c r="H170" s="3">
        <v>45247</v>
      </c>
      <c r="I170" s="4" t="s">
        <v>204</v>
      </c>
      <c r="J170" s="4" t="s">
        <v>27</v>
      </c>
      <c r="K170" s="4">
        <v>57</v>
      </c>
      <c r="L170" s="4" t="str" cm="1">
        <f t="array" ref="L170">_xlfn.IFS(K170&gt;=50, "Senior", K170&gt;=30, "Adult", K170&lt;30, "Young Adult")</f>
        <v>Senior</v>
      </c>
      <c r="M170" s="4" t="s">
        <v>3</v>
      </c>
      <c r="N170" s="4">
        <v>3</v>
      </c>
      <c r="O170" s="5">
        <v>500</v>
      </c>
      <c r="P170">
        <f>N170*O170</f>
        <v>1500</v>
      </c>
      <c r="Q170">
        <f>(P170*$U$4)</f>
        <v>22.5</v>
      </c>
    </row>
    <row r="171" spans="1:17">
      <c r="A171" s="2">
        <v>170</v>
      </c>
      <c r="B171" s="4">
        <f>YEAR(H171)</f>
        <v>2023</v>
      </c>
      <c r="C171" s="4">
        <f>MONTH(H171)</f>
        <v>6</v>
      </c>
      <c r="D171" s="4">
        <f>DAY(H171)</f>
        <v>2</v>
      </c>
      <c r="E171" s="4" t="str">
        <f>TEXT(H171,"dddd")</f>
        <v>Friday</v>
      </c>
      <c r="F171" s="4" t="str">
        <f t="shared" si="3"/>
        <v>June</v>
      </c>
      <c r="G171" s="4"/>
      <c r="H171" s="3">
        <v>45079</v>
      </c>
      <c r="I171" s="4" t="s">
        <v>205</v>
      </c>
      <c r="J171" s="4" t="s">
        <v>29</v>
      </c>
      <c r="K171" s="4">
        <v>57</v>
      </c>
      <c r="L171" s="4" t="str" cm="1">
        <f t="array" ref="L171">_xlfn.IFS(K171&gt;=50, "Senior", K171&gt;=30, "Adult", K171&lt;30, "Young Adult")</f>
        <v>Senior</v>
      </c>
      <c r="M171" s="4" t="s">
        <v>8</v>
      </c>
      <c r="N171" s="4">
        <v>2</v>
      </c>
      <c r="O171" s="5">
        <v>25</v>
      </c>
      <c r="P171">
        <f>N171*O171</f>
        <v>50</v>
      </c>
      <c r="Q171">
        <f>(P171*$U$4)</f>
        <v>0.75</v>
      </c>
    </row>
    <row r="172" spans="1:17">
      <c r="A172" s="2">
        <v>171</v>
      </c>
      <c r="B172" s="4">
        <f>YEAR(H172)</f>
        <v>2023</v>
      </c>
      <c r="C172" s="4">
        <f>MONTH(H172)</f>
        <v>11</v>
      </c>
      <c r="D172" s="4">
        <f>DAY(H172)</f>
        <v>24</v>
      </c>
      <c r="E172" s="4" t="str">
        <f>TEXT(H172,"dddd")</f>
        <v>Friday</v>
      </c>
      <c r="F172" s="4" t="str">
        <f t="shared" si="3"/>
        <v>November</v>
      </c>
      <c r="G172" s="4"/>
      <c r="H172" s="3">
        <v>45254</v>
      </c>
      <c r="I172" s="4" t="s">
        <v>206</v>
      </c>
      <c r="J172" s="4" t="s">
        <v>29</v>
      </c>
      <c r="K172" s="4">
        <v>57</v>
      </c>
      <c r="L172" s="4" t="str" cm="1">
        <f t="array" ref="L172">_xlfn.IFS(K172&gt;=50, "Senior", K172&gt;=30, "Adult", K172&lt;30, "Young Adult")</f>
        <v>Senior</v>
      </c>
      <c r="M172" s="4" t="s">
        <v>8</v>
      </c>
      <c r="N172" s="4">
        <v>3</v>
      </c>
      <c r="O172" s="5">
        <v>300</v>
      </c>
      <c r="P172">
        <f>N172*O172</f>
        <v>900</v>
      </c>
      <c r="Q172">
        <f>(P172*$U$4)</f>
        <v>13.5</v>
      </c>
    </row>
    <row r="173" spans="1:17">
      <c r="A173" s="2">
        <v>172</v>
      </c>
      <c r="B173" s="4">
        <f>YEAR(H173)</f>
        <v>2023</v>
      </c>
      <c r="C173" s="4">
        <f>MONTH(H173)</f>
        <v>9</v>
      </c>
      <c r="D173" s="4">
        <f>DAY(H173)</f>
        <v>17</v>
      </c>
      <c r="E173" s="4" t="str">
        <f>TEXT(H173,"dddd")</f>
        <v>Sunday</v>
      </c>
      <c r="F173" s="4" t="str">
        <f t="shared" si="3"/>
        <v>September</v>
      </c>
      <c r="G173" s="4"/>
      <c r="H173" s="3">
        <v>45186</v>
      </c>
      <c r="I173" s="4" t="s">
        <v>207</v>
      </c>
      <c r="J173" s="4" t="s">
        <v>27</v>
      </c>
      <c r="K173" s="4">
        <v>57</v>
      </c>
      <c r="L173" s="4" t="str" cm="1">
        <f t="array" ref="L173">_xlfn.IFS(K173&gt;=50, "Senior", K173&gt;=30, "Adult", K173&lt;30, "Young Adult")</f>
        <v>Senior</v>
      </c>
      <c r="M173" s="4" t="s">
        <v>3</v>
      </c>
      <c r="N173" s="4">
        <v>2</v>
      </c>
      <c r="O173" s="5">
        <v>25</v>
      </c>
      <c r="P173">
        <f>N173*O173</f>
        <v>50</v>
      </c>
      <c r="Q173">
        <f>(P173*$U$4)</f>
        <v>0.75</v>
      </c>
    </row>
    <row r="174" spans="1:17">
      <c r="A174" s="2">
        <v>173</v>
      </c>
      <c r="B174" s="4">
        <f>YEAR(H174)</f>
        <v>2023</v>
      </c>
      <c r="C174" s="4">
        <f>MONTH(H174)</f>
        <v>11</v>
      </c>
      <c r="D174" s="4">
        <f>DAY(H174)</f>
        <v>8</v>
      </c>
      <c r="E174" s="4" t="str">
        <f>TEXT(H174,"dddd")</f>
        <v>Wednesday</v>
      </c>
      <c r="F174" s="4" t="str">
        <f t="shared" si="3"/>
        <v>November</v>
      </c>
      <c r="G174" s="4"/>
      <c r="H174" s="3">
        <v>45238</v>
      </c>
      <c r="I174" s="4" t="s">
        <v>208</v>
      </c>
      <c r="J174" s="4" t="s">
        <v>27</v>
      </c>
      <c r="K174" s="4">
        <v>57</v>
      </c>
      <c r="L174" s="4" t="str" cm="1">
        <f t="array" ref="L174">_xlfn.IFS(K174&gt;=50, "Senior", K174&gt;=30, "Adult", K174&lt;30, "Young Adult")</f>
        <v>Senior</v>
      </c>
      <c r="M174" s="4" t="s">
        <v>10</v>
      </c>
      <c r="N174" s="4">
        <v>4</v>
      </c>
      <c r="O174" s="5">
        <v>30</v>
      </c>
      <c r="P174">
        <f>N174*O174</f>
        <v>120</v>
      </c>
      <c r="Q174">
        <f>(P174*$U$4)</f>
        <v>1.7999999999999998</v>
      </c>
    </row>
    <row r="175" spans="1:17">
      <c r="A175" s="2">
        <v>174</v>
      </c>
      <c r="B175" s="4">
        <f>YEAR(H175)</f>
        <v>2023</v>
      </c>
      <c r="C175" s="4">
        <f>MONTH(H175)</f>
        <v>4</v>
      </c>
      <c r="D175" s="4">
        <f>DAY(H175)</f>
        <v>12</v>
      </c>
      <c r="E175" s="4" t="str">
        <f>TEXT(H175,"dddd")</f>
        <v>Wednesday</v>
      </c>
      <c r="F175" s="4" t="str">
        <f t="shared" si="3"/>
        <v>April</v>
      </c>
      <c r="G175" s="4"/>
      <c r="H175" s="3">
        <v>45028</v>
      </c>
      <c r="I175" s="4" t="s">
        <v>209</v>
      </c>
      <c r="J175" s="4" t="s">
        <v>29</v>
      </c>
      <c r="K175" s="4">
        <v>57</v>
      </c>
      <c r="L175" s="4" t="str" cm="1">
        <f t="array" ref="L175">_xlfn.IFS(K175&gt;=50, "Senior", K175&gt;=30, "Adult", K175&lt;30, "Young Adult")</f>
        <v>Senior</v>
      </c>
      <c r="M175" s="4" t="s">
        <v>3</v>
      </c>
      <c r="N175" s="4">
        <v>1</v>
      </c>
      <c r="O175" s="5">
        <v>300</v>
      </c>
      <c r="P175">
        <f>N175*O175</f>
        <v>300</v>
      </c>
      <c r="Q175">
        <f>(P175*$U$4)</f>
        <v>4.5</v>
      </c>
    </row>
    <row r="176" spans="1:17">
      <c r="A176" s="2">
        <v>175</v>
      </c>
      <c r="B176" s="4">
        <f>YEAR(H176)</f>
        <v>2023</v>
      </c>
      <c r="C176" s="4">
        <f>MONTH(H176)</f>
        <v>3</v>
      </c>
      <c r="D176" s="4">
        <f>DAY(H176)</f>
        <v>20</v>
      </c>
      <c r="E176" s="4" t="str">
        <f>TEXT(H176,"dddd")</f>
        <v>Monday</v>
      </c>
      <c r="F176" s="4" t="str">
        <f t="shared" si="3"/>
        <v>March</v>
      </c>
      <c r="G176" s="4"/>
      <c r="H176" s="3">
        <v>45005</v>
      </c>
      <c r="I176" s="4" t="s">
        <v>210</v>
      </c>
      <c r="J176" s="4" t="s">
        <v>29</v>
      </c>
      <c r="K176" s="4">
        <v>57</v>
      </c>
      <c r="L176" s="4" t="str" cm="1">
        <f t="array" ref="L176">_xlfn.IFS(K176&gt;=50, "Senior", K176&gt;=30, "Adult", K176&lt;30, "Young Adult")</f>
        <v>Senior</v>
      </c>
      <c r="M176" s="4" t="s">
        <v>10</v>
      </c>
      <c r="N176" s="4">
        <v>4</v>
      </c>
      <c r="O176" s="5">
        <v>25</v>
      </c>
      <c r="P176">
        <f>N176*O176</f>
        <v>100</v>
      </c>
      <c r="Q176">
        <f>(P176*$U$4)</f>
        <v>1.5</v>
      </c>
    </row>
    <row r="177" spans="1:17">
      <c r="A177" s="2">
        <v>176</v>
      </c>
      <c r="B177" s="4">
        <f>YEAR(H177)</f>
        <v>2023</v>
      </c>
      <c r="C177" s="4">
        <f>MONTH(H177)</f>
        <v>7</v>
      </c>
      <c r="D177" s="4">
        <f>DAY(H177)</f>
        <v>11</v>
      </c>
      <c r="E177" s="4" t="str">
        <f>TEXT(H177,"dddd")</f>
        <v>Tuesday</v>
      </c>
      <c r="F177" s="4" t="str">
        <f t="shared" si="3"/>
        <v>July</v>
      </c>
      <c r="G177" s="4"/>
      <c r="H177" s="3">
        <v>45118</v>
      </c>
      <c r="I177" s="4" t="s">
        <v>211</v>
      </c>
      <c r="J177" s="4" t="s">
        <v>29</v>
      </c>
      <c r="K177" s="4">
        <v>57</v>
      </c>
      <c r="L177" s="4" t="str" cm="1">
        <f t="array" ref="L177">_xlfn.IFS(K177&gt;=50, "Senior", K177&gt;=30, "Adult", K177&lt;30, "Young Adult")</f>
        <v>Senior</v>
      </c>
      <c r="M177" s="4" t="s">
        <v>3</v>
      </c>
      <c r="N177" s="4">
        <v>2</v>
      </c>
      <c r="O177" s="5">
        <v>50</v>
      </c>
      <c r="P177">
        <f>N177*O177</f>
        <v>100</v>
      </c>
      <c r="Q177">
        <f>(P177*$U$4)</f>
        <v>1.5</v>
      </c>
    </row>
    <row r="178" spans="1:17">
      <c r="A178" s="2">
        <v>177</v>
      </c>
      <c r="B178" s="4">
        <f>YEAR(H178)</f>
        <v>2023</v>
      </c>
      <c r="C178" s="4">
        <f>MONTH(H178)</f>
        <v>3</v>
      </c>
      <c r="D178" s="4">
        <f>DAY(H178)</f>
        <v>24</v>
      </c>
      <c r="E178" s="4" t="str">
        <f>TEXT(H178,"dddd")</f>
        <v>Friday</v>
      </c>
      <c r="F178" s="4" t="str">
        <f t="shared" si="3"/>
        <v>March</v>
      </c>
      <c r="G178" s="4"/>
      <c r="H178" s="3">
        <v>45009</v>
      </c>
      <c r="I178" s="4" t="s">
        <v>212</v>
      </c>
      <c r="J178" s="4" t="s">
        <v>27</v>
      </c>
      <c r="K178" s="4">
        <v>56</v>
      </c>
      <c r="L178" s="4" t="str" cm="1">
        <f t="array" ref="L178">_xlfn.IFS(K178&gt;=50, "Senior", K178&gt;=30, "Adult", K178&lt;30, "Young Adult")</f>
        <v>Senior</v>
      </c>
      <c r="M178" s="4" t="s">
        <v>3</v>
      </c>
      <c r="N178" s="4">
        <v>2</v>
      </c>
      <c r="O178" s="5">
        <v>50</v>
      </c>
      <c r="P178">
        <f>N178*O178</f>
        <v>100</v>
      </c>
      <c r="Q178">
        <f>(P178*$U$4)</f>
        <v>1.5</v>
      </c>
    </row>
    <row r="179" spans="1:17">
      <c r="A179" s="2">
        <v>178</v>
      </c>
      <c r="B179" s="4">
        <f>YEAR(H179)</f>
        <v>2023</v>
      </c>
      <c r="C179" s="4">
        <f>MONTH(H179)</f>
        <v>10</v>
      </c>
      <c r="D179" s="4">
        <f>DAY(H179)</f>
        <v>4</v>
      </c>
      <c r="E179" s="4" t="str">
        <f>TEXT(H179,"dddd")</f>
        <v>Wednesday</v>
      </c>
      <c r="F179" s="4" t="str">
        <f t="shared" si="3"/>
        <v>October</v>
      </c>
      <c r="G179" s="4"/>
      <c r="H179" s="3">
        <v>45203</v>
      </c>
      <c r="I179" s="4" t="s">
        <v>213</v>
      </c>
      <c r="J179" s="4" t="s">
        <v>27</v>
      </c>
      <c r="K179" s="4">
        <v>56</v>
      </c>
      <c r="L179" s="4" t="str" cm="1">
        <f t="array" ref="L179">_xlfn.IFS(K179&gt;=50, "Senior", K179&gt;=30, "Adult", K179&lt;30, "Young Adult")</f>
        <v>Senior</v>
      </c>
      <c r="M179" s="4" t="s">
        <v>8</v>
      </c>
      <c r="N179" s="4">
        <v>2</v>
      </c>
      <c r="O179" s="5">
        <v>30</v>
      </c>
      <c r="P179">
        <f>N179*O179</f>
        <v>60</v>
      </c>
      <c r="Q179">
        <f>(P179*$U$4)</f>
        <v>0.89999999999999991</v>
      </c>
    </row>
    <row r="180" spans="1:17">
      <c r="A180" s="2">
        <v>179</v>
      </c>
      <c r="B180" s="4">
        <f>YEAR(H180)</f>
        <v>2023</v>
      </c>
      <c r="C180" s="4">
        <f>MONTH(H180)</f>
        <v>9</v>
      </c>
      <c r="D180" s="4">
        <f>DAY(H180)</f>
        <v>29</v>
      </c>
      <c r="E180" s="4" t="str">
        <f>TEXT(H180,"dddd")</f>
        <v>Friday</v>
      </c>
      <c r="F180" s="4" t="str">
        <f t="shared" si="3"/>
        <v>September</v>
      </c>
      <c r="G180" s="4"/>
      <c r="H180" s="3">
        <v>45198</v>
      </c>
      <c r="I180" s="4" t="s">
        <v>214</v>
      </c>
      <c r="J180" s="4" t="s">
        <v>27</v>
      </c>
      <c r="K180" s="4">
        <v>56</v>
      </c>
      <c r="L180" s="4" t="str" cm="1">
        <f t="array" ref="L180">_xlfn.IFS(K180&gt;=50, "Senior", K180&gt;=30, "Adult", K180&lt;30, "Young Adult")</f>
        <v>Senior</v>
      </c>
      <c r="M180" s="4" t="s">
        <v>10</v>
      </c>
      <c r="N180" s="4">
        <v>1</v>
      </c>
      <c r="O180" s="5">
        <v>300</v>
      </c>
      <c r="P180">
        <f>N180*O180</f>
        <v>300</v>
      </c>
      <c r="Q180">
        <f>(P180*$U$4)</f>
        <v>4.5</v>
      </c>
    </row>
    <row r="181" spans="1:17">
      <c r="A181" s="2">
        <v>180</v>
      </c>
      <c r="B181" s="4">
        <f>YEAR(H181)</f>
        <v>2023</v>
      </c>
      <c r="C181" s="4">
        <f>MONTH(H181)</f>
        <v>1</v>
      </c>
      <c r="D181" s="4">
        <f>DAY(H181)</f>
        <v>1</v>
      </c>
      <c r="E181" s="4" t="str">
        <f>TEXT(H181,"dddd")</f>
        <v>Sunday</v>
      </c>
      <c r="F181" s="4" t="str">
        <f t="shared" si="3"/>
        <v>January</v>
      </c>
      <c r="G181" s="4"/>
      <c r="H181" s="3">
        <v>44927</v>
      </c>
      <c r="I181" s="4" t="s">
        <v>215</v>
      </c>
      <c r="J181" s="4" t="s">
        <v>27</v>
      </c>
      <c r="K181" s="4">
        <v>56</v>
      </c>
      <c r="L181" s="4" t="str" cm="1">
        <f t="array" ref="L181">_xlfn.IFS(K181&gt;=50, "Senior", K181&gt;=30, "Adult", K181&lt;30, "Young Adult")</f>
        <v>Senior</v>
      </c>
      <c r="M181" s="4" t="s">
        <v>8</v>
      </c>
      <c r="N181" s="4">
        <v>3</v>
      </c>
      <c r="O181" s="5">
        <v>300</v>
      </c>
      <c r="P181">
        <f>N181*O181</f>
        <v>900</v>
      </c>
      <c r="Q181">
        <f>(P181*$U$4)</f>
        <v>13.5</v>
      </c>
    </row>
    <row r="182" spans="1:17">
      <c r="A182" s="2">
        <v>181</v>
      </c>
      <c r="B182" s="4">
        <f>YEAR(H182)</f>
        <v>2023</v>
      </c>
      <c r="C182" s="4">
        <f>MONTH(H182)</f>
        <v>11</v>
      </c>
      <c r="D182" s="4">
        <f>DAY(H182)</f>
        <v>3</v>
      </c>
      <c r="E182" s="4" t="str">
        <f>TEXT(H182,"dddd")</f>
        <v>Friday</v>
      </c>
      <c r="F182" s="4" t="str">
        <f t="shared" si="3"/>
        <v>November</v>
      </c>
      <c r="G182" s="4"/>
      <c r="H182" s="3">
        <v>45233</v>
      </c>
      <c r="I182" s="4" t="s">
        <v>216</v>
      </c>
      <c r="J182" s="4" t="s">
        <v>27</v>
      </c>
      <c r="K182" s="4">
        <v>56</v>
      </c>
      <c r="L182" s="4" t="str" cm="1">
        <f t="array" ref="L182">_xlfn.IFS(K182&gt;=50, "Senior", K182&gt;=30, "Adult", K182&lt;30, "Young Adult")</f>
        <v>Senior</v>
      </c>
      <c r="M182" s="4" t="s">
        <v>10</v>
      </c>
      <c r="N182" s="4">
        <v>4</v>
      </c>
      <c r="O182" s="5">
        <v>300</v>
      </c>
      <c r="P182">
        <f>N182*O182</f>
        <v>1200</v>
      </c>
      <c r="Q182">
        <f>(P182*$U$4)</f>
        <v>18</v>
      </c>
    </row>
    <row r="183" spans="1:17">
      <c r="A183" s="2">
        <v>182</v>
      </c>
      <c r="B183" s="4">
        <f>YEAR(H183)</f>
        <v>2023</v>
      </c>
      <c r="C183" s="4">
        <f>MONTH(H183)</f>
        <v>6</v>
      </c>
      <c r="D183" s="4">
        <f>DAY(H183)</f>
        <v>15</v>
      </c>
      <c r="E183" s="4" t="str">
        <f>TEXT(H183,"dddd")</f>
        <v>Thursday</v>
      </c>
      <c r="F183" s="4" t="str">
        <f t="shared" si="3"/>
        <v>June</v>
      </c>
      <c r="G183" s="4"/>
      <c r="H183" s="3">
        <v>45092</v>
      </c>
      <c r="I183" s="4" t="s">
        <v>217</v>
      </c>
      <c r="J183" s="4" t="s">
        <v>27</v>
      </c>
      <c r="K183" s="4">
        <v>56</v>
      </c>
      <c r="L183" s="4" t="str" cm="1">
        <f t="array" ref="L183">_xlfn.IFS(K183&gt;=50, "Senior", K183&gt;=30, "Adult", K183&lt;30, "Young Adult")</f>
        <v>Senior</v>
      </c>
      <c r="M183" s="4" t="s">
        <v>3</v>
      </c>
      <c r="N183" s="4">
        <v>4</v>
      </c>
      <c r="O183" s="5">
        <v>30</v>
      </c>
      <c r="P183">
        <f>N183*O183</f>
        <v>120</v>
      </c>
      <c r="Q183">
        <f>(P183*$U$4)</f>
        <v>1.7999999999999998</v>
      </c>
    </row>
    <row r="184" spans="1:17">
      <c r="A184" s="2">
        <v>183</v>
      </c>
      <c r="B184" s="4">
        <f>YEAR(H184)</f>
        <v>2023</v>
      </c>
      <c r="C184" s="4">
        <f>MONTH(H184)</f>
        <v>9</v>
      </c>
      <c r="D184" s="4">
        <f>DAY(H184)</f>
        <v>8</v>
      </c>
      <c r="E184" s="4" t="str">
        <f>TEXT(H184,"dddd")</f>
        <v>Friday</v>
      </c>
      <c r="F184" s="4" t="str">
        <f t="shared" si="3"/>
        <v>September</v>
      </c>
      <c r="G184" s="4"/>
      <c r="H184" s="3">
        <v>45177</v>
      </c>
      <c r="I184" s="4" t="s">
        <v>218</v>
      </c>
      <c r="J184" s="4" t="s">
        <v>29</v>
      </c>
      <c r="K184" s="4">
        <v>56</v>
      </c>
      <c r="L184" s="4" t="str" cm="1">
        <f t="array" ref="L184">_xlfn.IFS(K184&gt;=50, "Senior", K184&gt;=30, "Adult", K184&lt;30, "Young Adult")</f>
        <v>Senior</v>
      </c>
      <c r="M184" s="4" t="s">
        <v>3</v>
      </c>
      <c r="N184" s="4">
        <v>3</v>
      </c>
      <c r="O184" s="5">
        <v>300</v>
      </c>
      <c r="P184">
        <f>N184*O184</f>
        <v>900</v>
      </c>
      <c r="Q184">
        <f>(P184*$U$4)</f>
        <v>13.5</v>
      </c>
    </row>
    <row r="185" spans="1:17">
      <c r="A185" s="2">
        <v>184</v>
      </c>
      <c r="B185" s="4">
        <f>YEAR(H185)</f>
        <v>2023</v>
      </c>
      <c r="C185" s="4">
        <f>MONTH(H185)</f>
        <v>1</v>
      </c>
      <c r="D185" s="4">
        <f>DAY(H185)</f>
        <v>10</v>
      </c>
      <c r="E185" s="4" t="str">
        <f>TEXT(H185,"dddd")</f>
        <v>Tuesday</v>
      </c>
      <c r="F185" s="4" t="str">
        <f t="shared" si="3"/>
        <v>January</v>
      </c>
      <c r="G185" s="4"/>
      <c r="H185" s="3">
        <v>44936</v>
      </c>
      <c r="I185" s="4" t="s">
        <v>219</v>
      </c>
      <c r="J185" s="4" t="s">
        <v>27</v>
      </c>
      <c r="K185" s="4">
        <v>56</v>
      </c>
      <c r="L185" s="4" t="str" cm="1">
        <f t="array" ref="L185">_xlfn.IFS(K185&gt;=50, "Senior", K185&gt;=30, "Adult", K185&lt;30, "Young Adult")</f>
        <v>Senior</v>
      </c>
      <c r="M185" s="4" t="s">
        <v>10</v>
      </c>
      <c r="N185" s="4">
        <v>4</v>
      </c>
      <c r="O185" s="5">
        <v>50</v>
      </c>
      <c r="P185">
        <f>N185*O185</f>
        <v>200</v>
      </c>
      <c r="Q185">
        <f>(P185*$U$4)</f>
        <v>3</v>
      </c>
    </row>
    <row r="186" spans="1:17">
      <c r="A186" s="2">
        <v>185</v>
      </c>
      <c r="B186" s="4">
        <f>YEAR(H186)</f>
        <v>2023</v>
      </c>
      <c r="C186" s="4">
        <f>MONTH(H186)</f>
        <v>2</v>
      </c>
      <c r="D186" s="4">
        <f>DAY(H186)</f>
        <v>27</v>
      </c>
      <c r="E186" s="4" t="str">
        <f>TEXT(H186,"dddd")</f>
        <v>Monday</v>
      </c>
      <c r="F186" s="4" t="str">
        <f t="shared" si="3"/>
        <v>February</v>
      </c>
      <c r="G186" s="4"/>
      <c r="H186" s="3">
        <v>44984</v>
      </c>
      <c r="I186" s="4" t="s">
        <v>220</v>
      </c>
      <c r="J186" s="4" t="s">
        <v>27</v>
      </c>
      <c r="K186" s="4">
        <v>56</v>
      </c>
      <c r="L186" s="4" t="str" cm="1">
        <f t="array" ref="L186">_xlfn.IFS(K186&gt;=50, "Senior", K186&gt;=30, "Adult", K186&lt;30, "Young Adult")</f>
        <v>Senior</v>
      </c>
      <c r="M186" s="4" t="s">
        <v>8</v>
      </c>
      <c r="N186" s="4">
        <v>1</v>
      </c>
      <c r="O186" s="5">
        <v>25</v>
      </c>
      <c r="P186">
        <f>N186*O186</f>
        <v>25</v>
      </c>
      <c r="Q186">
        <f>(P186*$U$4)</f>
        <v>0.375</v>
      </c>
    </row>
    <row r="187" spans="1:17">
      <c r="A187" s="2">
        <v>186</v>
      </c>
      <c r="B187" s="4">
        <f>YEAR(H187)</f>
        <v>2023</v>
      </c>
      <c r="C187" s="4">
        <f>MONTH(H187)</f>
        <v>7</v>
      </c>
      <c r="D187" s="4">
        <f>DAY(H187)</f>
        <v>5</v>
      </c>
      <c r="E187" s="4" t="str">
        <f>TEXT(H187,"dddd")</f>
        <v>Wednesday</v>
      </c>
      <c r="F187" s="4" t="str">
        <f t="shared" si="3"/>
        <v>July</v>
      </c>
      <c r="G187" s="4"/>
      <c r="H187" s="3">
        <v>45112</v>
      </c>
      <c r="I187" s="4" t="s">
        <v>221</v>
      </c>
      <c r="J187" s="4" t="s">
        <v>27</v>
      </c>
      <c r="K187" s="4">
        <v>56</v>
      </c>
      <c r="L187" s="4" t="str" cm="1">
        <f t="array" ref="L187">_xlfn.IFS(K187&gt;=50, "Senior", K187&gt;=30, "Adult", K187&lt;30, "Young Adult")</f>
        <v>Senior</v>
      </c>
      <c r="M187" s="4" t="s">
        <v>8</v>
      </c>
      <c r="N187" s="4">
        <v>4</v>
      </c>
      <c r="O187" s="5">
        <v>50</v>
      </c>
      <c r="P187">
        <f>N187*O187</f>
        <v>200</v>
      </c>
      <c r="Q187">
        <f>(P187*$U$4)</f>
        <v>3</v>
      </c>
    </row>
    <row r="188" spans="1:17">
      <c r="A188" s="2">
        <v>187</v>
      </c>
      <c r="B188" s="4">
        <f>YEAR(H188)</f>
        <v>2023</v>
      </c>
      <c r="C188" s="4">
        <f>MONTH(H188)</f>
        <v>6</v>
      </c>
      <c r="D188" s="4">
        <f>DAY(H188)</f>
        <v>7</v>
      </c>
      <c r="E188" s="4" t="str">
        <f>TEXT(H188,"dddd")</f>
        <v>Wednesday</v>
      </c>
      <c r="F188" s="4" t="str">
        <f t="shared" si="3"/>
        <v>June</v>
      </c>
      <c r="G188" s="4"/>
      <c r="H188" s="3">
        <v>45084</v>
      </c>
      <c r="I188" s="4" t="s">
        <v>222</v>
      </c>
      <c r="J188" s="4" t="s">
        <v>29</v>
      </c>
      <c r="K188" s="4">
        <v>56</v>
      </c>
      <c r="L188" s="4" t="str" cm="1">
        <f t="array" ref="L188">_xlfn.IFS(K188&gt;=50, "Senior", K188&gt;=30, "Adult", K188&lt;30, "Young Adult")</f>
        <v>Senior</v>
      </c>
      <c r="M188" s="4" t="s">
        <v>8</v>
      </c>
      <c r="N188" s="4">
        <v>2</v>
      </c>
      <c r="O188" s="5">
        <v>50</v>
      </c>
      <c r="P188">
        <f>N188*O188</f>
        <v>100</v>
      </c>
      <c r="Q188">
        <f>(P188*$U$4)</f>
        <v>1.5</v>
      </c>
    </row>
    <row r="189" spans="1:17">
      <c r="A189" s="2">
        <v>188</v>
      </c>
      <c r="B189" s="4">
        <f>YEAR(H189)</f>
        <v>2023</v>
      </c>
      <c r="C189" s="4">
        <f>MONTH(H189)</f>
        <v>5</v>
      </c>
      <c r="D189" s="4">
        <f>DAY(H189)</f>
        <v>3</v>
      </c>
      <c r="E189" s="4" t="str">
        <f>TEXT(H189,"dddd")</f>
        <v>Wednesday</v>
      </c>
      <c r="F189" s="4" t="str">
        <f t="shared" si="3"/>
        <v>May</v>
      </c>
      <c r="G189" s="4"/>
      <c r="H189" s="3">
        <v>45049</v>
      </c>
      <c r="I189" s="4" t="s">
        <v>223</v>
      </c>
      <c r="J189" s="4" t="s">
        <v>27</v>
      </c>
      <c r="K189" s="4">
        <v>56</v>
      </c>
      <c r="L189" s="4" t="str" cm="1">
        <f t="array" ref="L189">_xlfn.IFS(K189&gt;=50, "Senior", K189&gt;=30, "Adult", K189&lt;30, "Young Adult")</f>
        <v>Senior</v>
      </c>
      <c r="M189" s="4" t="s">
        <v>8</v>
      </c>
      <c r="N189" s="4">
        <v>3</v>
      </c>
      <c r="O189" s="5">
        <v>25</v>
      </c>
      <c r="P189">
        <f>N189*O189</f>
        <v>75</v>
      </c>
      <c r="Q189">
        <f>(P189*$U$4)</f>
        <v>1.125</v>
      </c>
    </row>
    <row r="190" spans="1:17">
      <c r="A190" s="2">
        <v>189</v>
      </c>
      <c r="B190" s="4">
        <f>YEAR(H190)</f>
        <v>2023</v>
      </c>
      <c r="C190" s="4">
        <f>MONTH(H190)</f>
        <v>1</v>
      </c>
      <c r="D190" s="4">
        <f>DAY(H190)</f>
        <v>30</v>
      </c>
      <c r="E190" s="4" t="str">
        <f>TEXT(H190,"dddd")</f>
        <v>Monday</v>
      </c>
      <c r="F190" s="4" t="str">
        <f t="shared" si="3"/>
        <v>January</v>
      </c>
      <c r="G190" s="4"/>
      <c r="H190" s="3">
        <v>44956</v>
      </c>
      <c r="I190" s="4" t="s">
        <v>224</v>
      </c>
      <c r="J190" s="4" t="s">
        <v>27</v>
      </c>
      <c r="K190" s="4">
        <v>56</v>
      </c>
      <c r="L190" s="4" t="str" cm="1">
        <f t="array" ref="L190">_xlfn.IFS(K190&gt;=50, "Senior", K190&gt;=30, "Adult", K190&lt;30, "Young Adult")</f>
        <v>Senior</v>
      </c>
      <c r="M190" s="4" t="s">
        <v>3</v>
      </c>
      <c r="N190" s="4">
        <v>1</v>
      </c>
      <c r="O190" s="5">
        <v>50</v>
      </c>
      <c r="P190">
        <f>N190*O190</f>
        <v>50</v>
      </c>
      <c r="Q190">
        <f>(P190*$U$4)</f>
        <v>0.75</v>
      </c>
    </row>
    <row r="191" spans="1:17">
      <c r="A191" s="2">
        <v>190</v>
      </c>
      <c r="B191" s="4">
        <f>YEAR(H191)</f>
        <v>2023</v>
      </c>
      <c r="C191" s="4">
        <f>MONTH(H191)</f>
        <v>5</v>
      </c>
      <c r="D191" s="4">
        <f>DAY(H191)</f>
        <v>4</v>
      </c>
      <c r="E191" s="4" t="str">
        <f>TEXT(H191,"dddd")</f>
        <v>Thursday</v>
      </c>
      <c r="F191" s="4" t="str">
        <f t="shared" si="3"/>
        <v>May</v>
      </c>
      <c r="G191" s="4"/>
      <c r="H191" s="3">
        <v>45050</v>
      </c>
      <c r="I191" s="4" t="s">
        <v>225</v>
      </c>
      <c r="J191" s="4" t="s">
        <v>29</v>
      </c>
      <c r="K191" s="4">
        <v>56</v>
      </c>
      <c r="L191" s="4" t="str" cm="1">
        <f t="array" ref="L191">_xlfn.IFS(K191&gt;=50, "Senior", K191&gt;=30, "Adult", K191&lt;30, "Young Adult")</f>
        <v>Senior</v>
      </c>
      <c r="M191" s="4" t="s">
        <v>3</v>
      </c>
      <c r="N191" s="4">
        <v>3</v>
      </c>
      <c r="O191" s="5">
        <v>30</v>
      </c>
      <c r="P191">
        <f>N191*O191</f>
        <v>90</v>
      </c>
      <c r="Q191">
        <f>(P191*$U$4)</f>
        <v>1.3499999999999999</v>
      </c>
    </row>
    <row r="192" spans="1:17">
      <c r="A192" s="2">
        <v>191</v>
      </c>
      <c r="B192" s="4">
        <f>YEAR(H192)</f>
        <v>2023</v>
      </c>
      <c r="C192" s="4">
        <f>MONTH(H192)</f>
        <v>10</v>
      </c>
      <c r="D192" s="4">
        <f>DAY(H192)</f>
        <v>18</v>
      </c>
      <c r="E192" s="4" t="str">
        <f>TEXT(H192,"dddd")</f>
        <v>Wednesday</v>
      </c>
      <c r="F192" s="4" t="str">
        <f t="shared" si="3"/>
        <v>October</v>
      </c>
      <c r="G192" s="4"/>
      <c r="H192" s="3">
        <v>45217</v>
      </c>
      <c r="I192" s="4" t="s">
        <v>226</v>
      </c>
      <c r="J192" s="4" t="s">
        <v>27</v>
      </c>
      <c r="K192" s="4">
        <v>56</v>
      </c>
      <c r="L192" s="4" t="str" cm="1">
        <f t="array" ref="L192">_xlfn.IFS(K192&gt;=50, "Senior", K192&gt;=30, "Adult", K192&lt;30, "Young Adult")</f>
        <v>Senior</v>
      </c>
      <c r="M192" s="4" t="s">
        <v>3</v>
      </c>
      <c r="N192" s="4">
        <v>1</v>
      </c>
      <c r="O192" s="5">
        <v>25</v>
      </c>
      <c r="P192">
        <f>N192*O192</f>
        <v>25</v>
      </c>
      <c r="Q192">
        <f>(P192*$U$4)</f>
        <v>0.375</v>
      </c>
    </row>
    <row r="193" spans="1:17">
      <c r="A193" s="2">
        <v>192</v>
      </c>
      <c r="B193" s="4">
        <f>YEAR(H193)</f>
        <v>2023</v>
      </c>
      <c r="C193" s="4">
        <f>MONTH(H193)</f>
        <v>2</v>
      </c>
      <c r="D193" s="4">
        <f>DAY(H193)</f>
        <v>10</v>
      </c>
      <c r="E193" s="4" t="str">
        <f>TEXT(H193,"dddd")</f>
        <v>Friday</v>
      </c>
      <c r="F193" s="4" t="str">
        <f t="shared" si="3"/>
        <v>February</v>
      </c>
      <c r="G193" s="4"/>
      <c r="H193" s="3">
        <v>44967</v>
      </c>
      <c r="I193" s="4" t="s">
        <v>227</v>
      </c>
      <c r="J193" s="4" t="s">
        <v>27</v>
      </c>
      <c r="K193" s="4">
        <v>56</v>
      </c>
      <c r="L193" s="4" t="str" cm="1">
        <f t="array" ref="L193">_xlfn.IFS(K193&gt;=50, "Senior", K193&gt;=30, "Adult", K193&lt;30, "Young Adult")</f>
        <v>Senior</v>
      </c>
      <c r="M193" s="4" t="s">
        <v>3</v>
      </c>
      <c r="N193" s="4">
        <v>2</v>
      </c>
      <c r="O193" s="5">
        <v>50</v>
      </c>
      <c r="P193">
        <f>N193*O193</f>
        <v>100</v>
      </c>
      <c r="Q193">
        <f>(P193*$U$4)</f>
        <v>1.5</v>
      </c>
    </row>
    <row r="194" spans="1:17">
      <c r="A194" s="2">
        <v>193</v>
      </c>
      <c r="B194" s="4">
        <f>YEAR(H194)</f>
        <v>2023</v>
      </c>
      <c r="C194" s="4">
        <f>MONTH(H194)</f>
        <v>2</v>
      </c>
      <c r="D194" s="4">
        <f>DAY(H194)</f>
        <v>13</v>
      </c>
      <c r="E194" s="4" t="str">
        <f>TEXT(H194,"dddd")</f>
        <v>Monday</v>
      </c>
      <c r="F194" s="4" t="str">
        <f t="shared" si="3"/>
        <v>February</v>
      </c>
      <c r="G194" s="4"/>
      <c r="H194" s="3">
        <v>44970</v>
      </c>
      <c r="I194" s="4" t="s">
        <v>228</v>
      </c>
      <c r="J194" s="4" t="s">
        <v>27</v>
      </c>
      <c r="K194" s="4">
        <v>56</v>
      </c>
      <c r="L194" s="4" t="str" cm="1">
        <f t="array" ref="L194">_xlfn.IFS(K194&gt;=50, "Senior", K194&gt;=30, "Adult", K194&lt;30, "Young Adult")</f>
        <v>Senior</v>
      </c>
      <c r="M194" s="4" t="s">
        <v>3</v>
      </c>
      <c r="N194" s="4">
        <v>3</v>
      </c>
      <c r="O194" s="5">
        <v>500</v>
      </c>
      <c r="P194">
        <f>N194*O194</f>
        <v>1500</v>
      </c>
      <c r="Q194">
        <f>(P194*$U$4)</f>
        <v>22.5</v>
      </c>
    </row>
    <row r="195" spans="1:17">
      <c r="A195" s="2">
        <v>194</v>
      </c>
      <c r="B195" s="4">
        <f>YEAR(H195)</f>
        <v>2023</v>
      </c>
      <c r="C195" s="4">
        <f>MONTH(H195)</f>
        <v>9</v>
      </c>
      <c r="D195" s="4">
        <f>DAY(H195)</f>
        <v>6</v>
      </c>
      <c r="E195" s="4" t="str">
        <f>TEXT(H195,"dddd")</f>
        <v>Wednesday</v>
      </c>
      <c r="F195" s="4" t="str">
        <f t="shared" ref="F195:F258" si="4">TEXT(H195,"mmmm")</f>
        <v>September</v>
      </c>
      <c r="G195" s="4"/>
      <c r="H195" s="3">
        <v>45175</v>
      </c>
      <c r="I195" s="4" t="s">
        <v>229</v>
      </c>
      <c r="J195" s="4" t="s">
        <v>27</v>
      </c>
      <c r="K195" s="4">
        <v>56</v>
      </c>
      <c r="L195" s="4" t="str" cm="1">
        <f t="array" ref="L195">_xlfn.IFS(K195&gt;=50, "Senior", K195&gt;=30, "Adult", K195&lt;30, "Young Adult")</f>
        <v>Senior</v>
      </c>
      <c r="M195" s="4" t="s">
        <v>8</v>
      </c>
      <c r="N195" s="4">
        <v>4</v>
      </c>
      <c r="O195" s="5">
        <v>50</v>
      </c>
      <c r="P195">
        <f>N195*O195</f>
        <v>200</v>
      </c>
      <c r="Q195">
        <f>(P195*$U$4)</f>
        <v>3</v>
      </c>
    </row>
    <row r="196" spans="1:17">
      <c r="A196" s="2">
        <v>195</v>
      </c>
      <c r="B196" s="4">
        <f>YEAR(H196)</f>
        <v>2023</v>
      </c>
      <c r="C196" s="4">
        <f>MONTH(H196)</f>
        <v>2</v>
      </c>
      <c r="D196" s="4">
        <f>DAY(H196)</f>
        <v>5</v>
      </c>
      <c r="E196" s="4" t="str">
        <f>TEXT(H196,"dddd")</f>
        <v>Sunday</v>
      </c>
      <c r="F196" s="4" t="str">
        <f t="shared" si="4"/>
        <v>February</v>
      </c>
      <c r="G196" s="4"/>
      <c r="H196" s="3">
        <v>44962</v>
      </c>
      <c r="I196" s="4" t="s">
        <v>230</v>
      </c>
      <c r="J196" s="4" t="s">
        <v>27</v>
      </c>
      <c r="K196" s="4">
        <v>56</v>
      </c>
      <c r="L196" s="4" t="str" cm="1">
        <f t="array" ref="L196">_xlfn.IFS(K196&gt;=50, "Senior", K196&gt;=30, "Adult", K196&lt;30, "Young Adult")</f>
        <v>Senior</v>
      </c>
      <c r="M196" s="4" t="s">
        <v>8</v>
      </c>
      <c r="N196" s="4">
        <v>1</v>
      </c>
      <c r="O196" s="5">
        <v>30</v>
      </c>
      <c r="P196">
        <f>N196*O196</f>
        <v>30</v>
      </c>
      <c r="Q196">
        <f>(P196*$U$4)</f>
        <v>0.44999999999999996</v>
      </c>
    </row>
    <row r="197" spans="1:17">
      <c r="A197" s="2">
        <v>196</v>
      </c>
      <c r="B197" s="4">
        <f>YEAR(H197)</f>
        <v>2023</v>
      </c>
      <c r="C197" s="4">
        <f>MONTH(H197)</f>
        <v>9</v>
      </c>
      <c r="D197" s="4">
        <f>DAY(H197)</f>
        <v>30</v>
      </c>
      <c r="E197" s="4" t="str">
        <f>TEXT(H197,"dddd")</f>
        <v>Saturday</v>
      </c>
      <c r="F197" s="4" t="str">
        <f t="shared" si="4"/>
        <v>September</v>
      </c>
      <c r="G197" s="4"/>
      <c r="H197" s="3">
        <v>45199</v>
      </c>
      <c r="I197" s="4" t="s">
        <v>231</v>
      </c>
      <c r="J197" s="4" t="s">
        <v>29</v>
      </c>
      <c r="K197" s="4">
        <v>55</v>
      </c>
      <c r="L197" s="4" t="str" cm="1">
        <f t="array" ref="L197">_xlfn.IFS(K197&gt;=50, "Senior", K197&gt;=30, "Adult", K197&lt;30, "Young Adult")</f>
        <v>Senior</v>
      </c>
      <c r="M197" s="4" t="s">
        <v>8</v>
      </c>
      <c r="N197" s="4">
        <v>3</v>
      </c>
      <c r="O197" s="5">
        <v>300</v>
      </c>
      <c r="P197">
        <f>N197*O197</f>
        <v>900</v>
      </c>
      <c r="Q197">
        <f>(P197*$U$4)</f>
        <v>13.5</v>
      </c>
    </row>
    <row r="198" spans="1:17">
      <c r="A198" s="2">
        <v>197</v>
      </c>
      <c r="B198" s="4">
        <f>YEAR(H198)</f>
        <v>2023</v>
      </c>
      <c r="C198" s="4">
        <f>MONTH(H198)</f>
        <v>3</v>
      </c>
      <c r="D198" s="4">
        <f>DAY(H198)</f>
        <v>6</v>
      </c>
      <c r="E198" s="4" t="str">
        <f>TEXT(H198,"dddd")</f>
        <v>Monday</v>
      </c>
      <c r="F198" s="4" t="str">
        <f t="shared" si="4"/>
        <v>March</v>
      </c>
      <c r="G198" s="4"/>
      <c r="H198" s="3">
        <v>44991</v>
      </c>
      <c r="I198" s="4" t="s">
        <v>232</v>
      </c>
      <c r="J198" s="4" t="s">
        <v>29</v>
      </c>
      <c r="K198" s="4">
        <v>55</v>
      </c>
      <c r="L198" s="4" t="str" cm="1">
        <f t="array" ref="L198">_xlfn.IFS(K198&gt;=50, "Senior", K198&gt;=30, "Adult", K198&lt;30, "Young Adult")</f>
        <v>Senior</v>
      </c>
      <c r="M198" s="4" t="s">
        <v>8</v>
      </c>
      <c r="N198" s="4">
        <v>4</v>
      </c>
      <c r="O198" s="5">
        <v>50</v>
      </c>
      <c r="P198">
        <f>N198*O198</f>
        <v>200</v>
      </c>
      <c r="Q198">
        <f>(P198*$U$4)</f>
        <v>3</v>
      </c>
    </row>
    <row r="199" spans="1:17">
      <c r="A199" s="2">
        <v>198</v>
      </c>
      <c r="B199" s="4">
        <f>YEAR(H199)</f>
        <v>2023</v>
      </c>
      <c r="C199" s="4">
        <f>MONTH(H199)</f>
        <v>3</v>
      </c>
      <c r="D199" s="4">
        <f>DAY(H199)</f>
        <v>7</v>
      </c>
      <c r="E199" s="4" t="str">
        <f>TEXT(H199,"dddd")</f>
        <v>Tuesday</v>
      </c>
      <c r="F199" s="4" t="str">
        <f t="shared" si="4"/>
        <v>March</v>
      </c>
      <c r="G199" s="4"/>
      <c r="H199" s="3">
        <v>44992</v>
      </c>
      <c r="I199" s="4" t="s">
        <v>233</v>
      </c>
      <c r="J199" s="4" t="s">
        <v>29</v>
      </c>
      <c r="K199" s="4">
        <v>55</v>
      </c>
      <c r="L199" s="4" t="str" cm="1">
        <f t="array" ref="L199">_xlfn.IFS(K199&gt;=50, "Senior", K199&gt;=30, "Adult", K199&lt;30, "Young Adult")</f>
        <v>Senior</v>
      </c>
      <c r="M199" s="4" t="s">
        <v>3</v>
      </c>
      <c r="N199" s="4">
        <v>3</v>
      </c>
      <c r="O199" s="5">
        <v>300</v>
      </c>
      <c r="P199">
        <f>N199*O199</f>
        <v>900</v>
      </c>
      <c r="Q199">
        <f>(P199*$U$4)</f>
        <v>13.5</v>
      </c>
    </row>
    <row r="200" spans="1:17">
      <c r="A200" s="2">
        <v>199</v>
      </c>
      <c r="B200" s="4">
        <f>YEAR(H200)</f>
        <v>2023</v>
      </c>
      <c r="C200" s="4">
        <f>MONTH(H200)</f>
        <v>12</v>
      </c>
      <c r="D200" s="4">
        <f>DAY(H200)</f>
        <v>4</v>
      </c>
      <c r="E200" s="4" t="str">
        <f>TEXT(H200,"dddd")</f>
        <v>Monday</v>
      </c>
      <c r="F200" s="4" t="str">
        <f t="shared" si="4"/>
        <v>December</v>
      </c>
      <c r="G200" s="4"/>
      <c r="H200" s="3">
        <v>45264</v>
      </c>
      <c r="I200" s="4" t="s">
        <v>234</v>
      </c>
      <c r="J200" s="4" t="s">
        <v>27</v>
      </c>
      <c r="K200" s="4">
        <v>55</v>
      </c>
      <c r="L200" s="4" t="str" cm="1">
        <f t="array" ref="L200">_xlfn.IFS(K200&gt;=50, "Senior", K200&gt;=30, "Adult", K200&lt;30, "Young Adult")</f>
        <v>Senior</v>
      </c>
      <c r="M200" s="4" t="s">
        <v>3</v>
      </c>
      <c r="N200" s="4">
        <v>3</v>
      </c>
      <c r="O200" s="5">
        <v>500</v>
      </c>
      <c r="P200">
        <f>N200*O200</f>
        <v>1500</v>
      </c>
      <c r="Q200">
        <f>(P200*$U$4)</f>
        <v>22.5</v>
      </c>
    </row>
    <row r="201" spans="1:17">
      <c r="A201" s="2">
        <v>200</v>
      </c>
      <c r="B201" s="4">
        <f>YEAR(H201)</f>
        <v>2023</v>
      </c>
      <c r="C201" s="4">
        <f>MONTH(H201)</f>
        <v>9</v>
      </c>
      <c r="D201" s="4">
        <f>DAY(H201)</f>
        <v>1</v>
      </c>
      <c r="E201" s="4" t="str">
        <f>TEXT(H201,"dddd")</f>
        <v>Friday</v>
      </c>
      <c r="F201" s="4" t="str">
        <f t="shared" si="4"/>
        <v>September</v>
      </c>
      <c r="G201" s="4"/>
      <c r="H201" s="3">
        <v>45170</v>
      </c>
      <c r="I201" s="4" t="s">
        <v>235</v>
      </c>
      <c r="J201" s="4" t="s">
        <v>27</v>
      </c>
      <c r="K201" s="4">
        <v>55</v>
      </c>
      <c r="L201" s="4" t="str" cm="1">
        <f t="array" ref="L201">_xlfn.IFS(K201&gt;=50, "Senior", K201&gt;=30, "Adult", K201&lt;30, "Young Adult")</f>
        <v>Senior</v>
      </c>
      <c r="M201" s="4" t="s">
        <v>3</v>
      </c>
      <c r="N201" s="4">
        <v>3</v>
      </c>
      <c r="O201" s="5">
        <v>50</v>
      </c>
      <c r="P201">
        <f>N201*O201</f>
        <v>150</v>
      </c>
      <c r="Q201">
        <f>(P201*$U$4)</f>
        <v>2.25</v>
      </c>
    </row>
    <row r="202" spans="1:17">
      <c r="A202" s="2">
        <v>201</v>
      </c>
      <c r="B202" s="4">
        <f>YEAR(H202)</f>
        <v>2023</v>
      </c>
      <c r="C202" s="4">
        <f>MONTH(H202)</f>
        <v>10</v>
      </c>
      <c r="D202" s="4">
        <f>DAY(H202)</f>
        <v>9</v>
      </c>
      <c r="E202" s="4" t="str">
        <f>TEXT(H202,"dddd")</f>
        <v>Monday</v>
      </c>
      <c r="F202" s="4" t="str">
        <f t="shared" si="4"/>
        <v>October</v>
      </c>
      <c r="G202" s="4"/>
      <c r="H202" s="3">
        <v>45208</v>
      </c>
      <c r="I202" s="4" t="s">
        <v>236</v>
      </c>
      <c r="J202" s="4" t="s">
        <v>27</v>
      </c>
      <c r="K202" s="4">
        <v>55</v>
      </c>
      <c r="L202" s="4" t="str" cm="1">
        <f t="array" ref="L202">_xlfn.IFS(K202&gt;=50, "Senior", K202&gt;=30, "Adult", K202&lt;30, "Young Adult")</f>
        <v>Senior</v>
      </c>
      <c r="M202" s="4" t="s">
        <v>10</v>
      </c>
      <c r="N202" s="4">
        <v>1</v>
      </c>
      <c r="O202" s="5">
        <v>25</v>
      </c>
      <c r="P202">
        <f>N202*O202</f>
        <v>25</v>
      </c>
      <c r="Q202">
        <f>(P202*$U$4)</f>
        <v>0.375</v>
      </c>
    </row>
    <row r="203" spans="1:17">
      <c r="A203" s="2">
        <v>202</v>
      </c>
      <c r="B203" s="4">
        <f>YEAR(H203)</f>
        <v>2023</v>
      </c>
      <c r="C203" s="4">
        <f>MONTH(H203)</f>
        <v>3</v>
      </c>
      <c r="D203" s="4">
        <f>DAY(H203)</f>
        <v>26</v>
      </c>
      <c r="E203" s="4" t="str">
        <f>TEXT(H203,"dddd")</f>
        <v>Sunday</v>
      </c>
      <c r="F203" s="4" t="str">
        <f t="shared" si="4"/>
        <v>March</v>
      </c>
      <c r="G203" s="4"/>
      <c r="H203" s="3">
        <v>45011</v>
      </c>
      <c r="I203" s="4" t="s">
        <v>237</v>
      </c>
      <c r="J203" s="4" t="s">
        <v>29</v>
      </c>
      <c r="K203" s="4">
        <v>55</v>
      </c>
      <c r="L203" s="4" t="str" cm="1">
        <f t="array" ref="L203">_xlfn.IFS(K203&gt;=50, "Senior", K203&gt;=30, "Adult", K203&lt;30, "Young Adult")</f>
        <v>Senior</v>
      </c>
      <c r="M203" s="4" t="s">
        <v>8</v>
      </c>
      <c r="N203" s="4">
        <v>4</v>
      </c>
      <c r="O203" s="5">
        <v>300</v>
      </c>
      <c r="P203">
        <f>N203*O203</f>
        <v>1200</v>
      </c>
      <c r="Q203">
        <f>(P203*$U$4)</f>
        <v>18</v>
      </c>
    </row>
    <row r="204" spans="1:17">
      <c r="A204" s="2">
        <v>203</v>
      </c>
      <c r="B204" s="4">
        <f>YEAR(H204)</f>
        <v>2023</v>
      </c>
      <c r="C204" s="4">
        <f>MONTH(H204)</f>
        <v>5</v>
      </c>
      <c r="D204" s="4">
        <f>DAY(H204)</f>
        <v>16</v>
      </c>
      <c r="E204" s="4" t="str">
        <f>TEXT(H204,"dddd")</f>
        <v>Tuesday</v>
      </c>
      <c r="F204" s="4" t="str">
        <f t="shared" si="4"/>
        <v>May</v>
      </c>
      <c r="G204" s="4"/>
      <c r="H204" s="3">
        <v>45062</v>
      </c>
      <c r="I204" s="4" t="s">
        <v>238</v>
      </c>
      <c r="J204" s="4" t="s">
        <v>27</v>
      </c>
      <c r="K204" s="4">
        <v>55</v>
      </c>
      <c r="L204" s="4" t="str" cm="1">
        <f t="array" ref="L204">_xlfn.IFS(K204&gt;=50, "Senior", K204&gt;=30, "Adult", K204&lt;30, "Young Adult")</f>
        <v>Senior</v>
      </c>
      <c r="M204" s="4" t="s">
        <v>8</v>
      </c>
      <c r="N204" s="4">
        <v>2</v>
      </c>
      <c r="O204" s="5">
        <v>500</v>
      </c>
      <c r="P204">
        <f>N204*O204</f>
        <v>1000</v>
      </c>
      <c r="Q204">
        <f>(P204*$U$4)</f>
        <v>15</v>
      </c>
    </row>
    <row r="205" spans="1:17">
      <c r="A205" s="2">
        <v>204</v>
      </c>
      <c r="B205" s="4">
        <f>YEAR(H205)</f>
        <v>2023</v>
      </c>
      <c r="C205" s="4">
        <f>MONTH(H205)</f>
        <v>9</v>
      </c>
      <c r="D205" s="4">
        <f>DAY(H205)</f>
        <v>28</v>
      </c>
      <c r="E205" s="4" t="str">
        <f>TEXT(H205,"dddd")</f>
        <v>Thursday</v>
      </c>
      <c r="F205" s="4" t="str">
        <f t="shared" si="4"/>
        <v>September</v>
      </c>
      <c r="G205" s="4"/>
      <c r="H205" s="3">
        <v>45197</v>
      </c>
      <c r="I205" s="4" t="s">
        <v>239</v>
      </c>
      <c r="J205" s="4" t="s">
        <v>27</v>
      </c>
      <c r="K205" s="4">
        <v>55</v>
      </c>
      <c r="L205" s="4" t="str" cm="1">
        <f t="array" ref="L205">_xlfn.IFS(K205&gt;=50, "Senior", K205&gt;=30, "Adult", K205&lt;30, "Young Adult")</f>
        <v>Senior</v>
      </c>
      <c r="M205" s="4" t="s">
        <v>3</v>
      </c>
      <c r="N205" s="4">
        <v>1</v>
      </c>
      <c r="O205" s="5">
        <v>25</v>
      </c>
      <c r="P205">
        <f>N205*O205</f>
        <v>25</v>
      </c>
      <c r="Q205">
        <f>(P205*$U$4)</f>
        <v>0.375</v>
      </c>
    </row>
    <row r="206" spans="1:17">
      <c r="A206" s="2">
        <v>205</v>
      </c>
      <c r="B206" s="4">
        <f>YEAR(H206)</f>
        <v>2023</v>
      </c>
      <c r="C206" s="4">
        <f>MONTH(H206)</f>
        <v>11</v>
      </c>
      <c r="D206" s="4">
        <f>DAY(H206)</f>
        <v>7</v>
      </c>
      <c r="E206" s="4" t="str">
        <f>TEXT(H206,"dddd")</f>
        <v>Tuesday</v>
      </c>
      <c r="F206" s="4" t="str">
        <f t="shared" si="4"/>
        <v>November</v>
      </c>
      <c r="G206" s="4"/>
      <c r="H206" s="3">
        <v>45237</v>
      </c>
      <c r="I206" s="4" t="s">
        <v>240</v>
      </c>
      <c r="J206" s="4" t="s">
        <v>29</v>
      </c>
      <c r="K206" s="4">
        <v>55</v>
      </c>
      <c r="L206" s="4" t="str" cm="1">
        <f t="array" ref="L206">_xlfn.IFS(K206&gt;=50, "Senior", K206&gt;=30, "Adult", K206&lt;30, "Young Adult")</f>
        <v>Senior</v>
      </c>
      <c r="M206" s="4" t="s">
        <v>8</v>
      </c>
      <c r="N206" s="4">
        <v>1</v>
      </c>
      <c r="O206" s="5">
        <v>25</v>
      </c>
      <c r="P206">
        <f>N206*O206</f>
        <v>25</v>
      </c>
      <c r="Q206">
        <f>(P206*$U$4)</f>
        <v>0.375</v>
      </c>
    </row>
    <row r="207" spans="1:17">
      <c r="A207" s="2">
        <v>206</v>
      </c>
      <c r="B207" s="4">
        <f>YEAR(H207)</f>
        <v>2023</v>
      </c>
      <c r="C207" s="4">
        <f>MONTH(H207)</f>
        <v>8</v>
      </c>
      <c r="D207" s="4">
        <f>DAY(H207)</f>
        <v>5</v>
      </c>
      <c r="E207" s="4" t="str">
        <f>TEXT(H207,"dddd")</f>
        <v>Saturday</v>
      </c>
      <c r="F207" s="4" t="str">
        <f t="shared" si="4"/>
        <v>August</v>
      </c>
      <c r="G207" s="4"/>
      <c r="H207" s="3">
        <v>45143</v>
      </c>
      <c r="I207" s="4" t="s">
        <v>241</v>
      </c>
      <c r="J207" s="4" t="s">
        <v>27</v>
      </c>
      <c r="K207" s="4">
        <v>55</v>
      </c>
      <c r="L207" s="4" t="str" cm="1">
        <f t="array" ref="L207">_xlfn.IFS(K207&gt;=50, "Senior", K207&gt;=30, "Adult", K207&lt;30, "Young Adult")</f>
        <v>Senior</v>
      </c>
      <c r="M207" s="4" t="s">
        <v>8</v>
      </c>
      <c r="N207" s="4">
        <v>1</v>
      </c>
      <c r="O207" s="5">
        <v>25</v>
      </c>
      <c r="P207">
        <f>N207*O207</f>
        <v>25</v>
      </c>
      <c r="Q207">
        <f>(P207*$U$4)</f>
        <v>0.375</v>
      </c>
    </row>
    <row r="208" spans="1:17">
      <c r="A208" s="2">
        <v>207</v>
      </c>
      <c r="B208" s="4">
        <f>YEAR(H208)</f>
        <v>2023</v>
      </c>
      <c r="C208" s="4">
        <f>MONTH(H208)</f>
        <v>4</v>
      </c>
      <c r="D208" s="4">
        <f>DAY(H208)</f>
        <v>19</v>
      </c>
      <c r="E208" s="4" t="str">
        <f>TEXT(H208,"dddd")</f>
        <v>Wednesday</v>
      </c>
      <c r="F208" s="4" t="str">
        <f t="shared" si="4"/>
        <v>April</v>
      </c>
      <c r="G208" s="4"/>
      <c r="H208" s="3">
        <v>45035</v>
      </c>
      <c r="I208" s="4" t="s">
        <v>242</v>
      </c>
      <c r="J208" s="4" t="s">
        <v>29</v>
      </c>
      <c r="K208" s="4">
        <v>55</v>
      </c>
      <c r="L208" s="4" t="str" cm="1">
        <f t="array" ref="L208">_xlfn.IFS(K208&gt;=50, "Senior", K208&gt;=30, "Adult", K208&lt;30, "Young Adult")</f>
        <v>Senior</v>
      </c>
      <c r="M208" s="4" t="s">
        <v>3</v>
      </c>
      <c r="N208" s="4">
        <v>2</v>
      </c>
      <c r="O208" s="5">
        <v>25</v>
      </c>
      <c r="P208">
        <f>N208*O208</f>
        <v>50</v>
      </c>
      <c r="Q208">
        <f>(P208*$U$4)</f>
        <v>0.75</v>
      </c>
    </row>
    <row r="209" spans="1:17">
      <c r="A209" s="2">
        <v>208</v>
      </c>
      <c r="B209" s="4">
        <f>YEAR(H209)</f>
        <v>2023</v>
      </c>
      <c r="C209" s="4">
        <f>MONTH(H209)</f>
        <v>10</v>
      </c>
      <c r="D209" s="4">
        <f>DAY(H209)</f>
        <v>4</v>
      </c>
      <c r="E209" s="4" t="str">
        <f>TEXT(H209,"dddd")</f>
        <v>Wednesday</v>
      </c>
      <c r="F209" s="4" t="str">
        <f t="shared" si="4"/>
        <v>October</v>
      </c>
      <c r="G209" s="4"/>
      <c r="H209" s="3">
        <v>45203</v>
      </c>
      <c r="I209" s="4" t="s">
        <v>243</v>
      </c>
      <c r="J209" s="4" t="s">
        <v>29</v>
      </c>
      <c r="K209" s="4">
        <v>55</v>
      </c>
      <c r="L209" s="4" t="str" cm="1">
        <f t="array" ref="L209">_xlfn.IFS(K209&gt;=50, "Senior", K209&gt;=30, "Adult", K209&lt;30, "Young Adult")</f>
        <v>Senior</v>
      </c>
      <c r="M209" s="4" t="s">
        <v>10</v>
      </c>
      <c r="N209" s="4">
        <v>4</v>
      </c>
      <c r="O209" s="5">
        <v>50</v>
      </c>
      <c r="P209">
        <f>N209*O209</f>
        <v>200</v>
      </c>
      <c r="Q209">
        <f>(P209*$U$4)</f>
        <v>3</v>
      </c>
    </row>
    <row r="210" spans="1:17">
      <c r="A210" s="2">
        <v>209</v>
      </c>
      <c r="B210" s="4">
        <f>YEAR(H210)</f>
        <v>2023</v>
      </c>
      <c r="C210" s="4">
        <f>MONTH(H210)</f>
        <v>12</v>
      </c>
      <c r="D210" s="4">
        <f>DAY(H210)</f>
        <v>20</v>
      </c>
      <c r="E210" s="4" t="str">
        <f>TEXT(H210,"dddd")</f>
        <v>Wednesday</v>
      </c>
      <c r="F210" s="4" t="str">
        <f t="shared" si="4"/>
        <v>December</v>
      </c>
      <c r="G210" s="4"/>
      <c r="H210" s="3">
        <v>45280</v>
      </c>
      <c r="I210" s="4" t="s">
        <v>244</v>
      </c>
      <c r="J210" s="4" t="s">
        <v>29</v>
      </c>
      <c r="K210" s="4">
        <v>55</v>
      </c>
      <c r="L210" s="4" t="str" cm="1">
        <f t="array" ref="L210">_xlfn.IFS(K210&gt;=50, "Senior", K210&gt;=30, "Adult", K210&lt;30, "Young Adult")</f>
        <v>Senior</v>
      </c>
      <c r="M210" s="4" t="s">
        <v>10</v>
      </c>
      <c r="N210" s="4">
        <v>4</v>
      </c>
      <c r="O210" s="5">
        <v>50</v>
      </c>
      <c r="P210">
        <f>N210*O210</f>
        <v>200</v>
      </c>
      <c r="Q210">
        <f>(P210*$U$4)</f>
        <v>3</v>
      </c>
    </row>
    <row r="211" spans="1:17">
      <c r="A211" s="2">
        <v>210</v>
      </c>
      <c r="B211" s="4">
        <f>YEAR(H211)</f>
        <v>2023</v>
      </c>
      <c r="C211" s="4">
        <f>MONTH(H211)</f>
        <v>4</v>
      </c>
      <c r="D211" s="4">
        <f>DAY(H211)</f>
        <v>13</v>
      </c>
      <c r="E211" s="4" t="str">
        <f>TEXT(H211,"dddd")</f>
        <v>Thursday</v>
      </c>
      <c r="F211" s="4" t="str">
        <f t="shared" si="4"/>
        <v>April</v>
      </c>
      <c r="G211" s="4"/>
      <c r="H211" s="3">
        <v>45029</v>
      </c>
      <c r="I211" s="4" t="s">
        <v>245</v>
      </c>
      <c r="J211" s="4" t="s">
        <v>27</v>
      </c>
      <c r="K211" s="4">
        <v>55</v>
      </c>
      <c r="L211" s="4" t="str" cm="1">
        <f t="array" ref="L211">_xlfn.IFS(K211&gt;=50, "Senior", K211&gt;=30, "Adult", K211&lt;30, "Young Adult")</f>
        <v>Senior</v>
      </c>
      <c r="M211" s="4" t="s">
        <v>10</v>
      </c>
      <c r="N211" s="4">
        <v>4</v>
      </c>
      <c r="O211" s="5">
        <v>50</v>
      </c>
      <c r="P211">
        <f>N211*O211</f>
        <v>200</v>
      </c>
      <c r="Q211">
        <f>(P211*$U$4)</f>
        <v>3</v>
      </c>
    </row>
    <row r="212" spans="1:17">
      <c r="A212" s="2">
        <v>212</v>
      </c>
      <c r="B212" s="4">
        <f>YEAR(H212)</f>
        <v>2023</v>
      </c>
      <c r="C212" s="4">
        <f>MONTH(H212)</f>
        <v>6</v>
      </c>
      <c r="D212" s="4">
        <f>DAY(H212)</f>
        <v>9</v>
      </c>
      <c r="E212" s="4" t="str">
        <f>TEXT(H212,"dddd")</f>
        <v>Friday</v>
      </c>
      <c r="F212" s="4" t="str">
        <f t="shared" si="4"/>
        <v>June</v>
      </c>
      <c r="G212" s="4"/>
      <c r="H212" s="3">
        <v>45086</v>
      </c>
      <c r="I212" s="4" t="s">
        <v>246</v>
      </c>
      <c r="J212" s="4" t="s">
        <v>27</v>
      </c>
      <c r="K212" s="4">
        <v>55</v>
      </c>
      <c r="L212" s="4" t="str" cm="1">
        <f t="array" ref="L212">_xlfn.IFS(K212&gt;=50, "Senior", K212&gt;=30, "Adult", K212&lt;30, "Young Adult")</f>
        <v>Senior</v>
      </c>
      <c r="M212" s="4" t="s">
        <v>8</v>
      </c>
      <c r="N212" s="4">
        <v>3</v>
      </c>
      <c r="O212" s="5">
        <v>500</v>
      </c>
      <c r="P212">
        <f>N212*O212</f>
        <v>1500</v>
      </c>
      <c r="Q212">
        <f>(P212*$U$4)</f>
        <v>22.5</v>
      </c>
    </row>
    <row r="213" spans="1:17">
      <c r="A213" s="2">
        <v>213</v>
      </c>
      <c r="B213" s="4">
        <f>YEAR(H213)</f>
        <v>2023</v>
      </c>
      <c r="C213" s="4">
        <f>MONTH(H213)</f>
        <v>7</v>
      </c>
      <c r="D213" s="4">
        <f>DAY(H213)</f>
        <v>24</v>
      </c>
      <c r="E213" s="4" t="str">
        <f>TEXT(H213,"dddd")</f>
        <v>Monday</v>
      </c>
      <c r="F213" s="4" t="str">
        <f t="shared" si="4"/>
        <v>July</v>
      </c>
      <c r="G213" s="4"/>
      <c r="H213" s="3">
        <v>45131</v>
      </c>
      <c r="I213" s="4" t="s">
        <v>247</v>
      </c>
      <c r="J213" s="4" t="s">
        <v>27</v>
      </c>
      <c r="K213" s="4">
        <v>55</v>
      </c>
      <c r="L213" s="4" t="str" cm="1">
        <f t="array" ref="L213">_xlfn.IFS(K213&gt;=50, "Senior", K213&gt;=30, "Adult", K213&lt;30, "Young Adult")</f>
        <v>Senior</v>
      </c>
      <c r="M213" s="4" t="s">
        <v>3</v>
      </c>
      <c r="N213" s="4">
        <v>3</v>
      </c>
      <c r="O213" s="5">
        <v>500</v>
      </c>
      <c r="P213">
        <f>N213*O213</f>
        <v>1500</v>
      </c>
      <c r="Q213">
        <f>(P213*$U$4)</f>
        <v>22.5</v>
      </c>
    </row>
    <row r="214" spans="1:17">
      <c r="A214" s="2">
        <v>214</v>
      </c>
      <c r="B214" s="4">
        <f>YEAR(H214)</f>
        <v>2023</v>
      </c>
      <c r="C214" s="4">
        <f>MONTH(H214)</f>
        <v>12</v>
      </c>
      <c r="D214" s="4">
        <f>DAY(H214)</f>
        <v>10</v>
      </c>
      <c r="E214" s="4" t="str">
        <f>TEXT(H214,"dddd")</f>
        <v>Sunday</v>
      </c>
      <c r="F214" s="4" t="str">
        <f t="shared" si="4"/>
        <v>December</v>
      </c>
      <c r="G214" s="4"/>
      <c r="H214" s="3">
        <v>45270</v>
      </c>
      <c r="I214" s="4" t="s">
        <v>248</v>
      </c>
      <c r="J214" s="4" t="s">
        <v>27</v>
      </c>
      <c r="K214" s="4">
        <v>55</v>
      </c>
      <c r="L214" s="4" t="str" cm="1">
        <f t="array" ref="L214">_xlfn.IFS(K214&gt;=50, "Senior", K214&gt;=30, "Adult", K214&lt;30, "Young Adult")</f>
        <v>Senior</v>
      </c>
      <c r="M214" s="4" t="s">
        <v>3</v>
      </c>
      <c r="N214" s="4">
        <v>2</v>
      </c>
      <c r="O214" s="5">
        <v>30</v>
      </c>
      <c r="P214">
        <f>N214*O214</f>
        <v>60</v>
      </c>
      <c r="Q214">
        <f>(P214*$U$4)</f>
        <v>0.89999999999999991</v>
      </c>
    </row>
    <row r="215" spans="1:17">
      <c r="A215" s="2">
        <v>215</v>
      </c>
      <c r="B215" s="4">
        <f>YEAR(H215)</f>
        <v>2023</v>
      </c>
      <c r="C215" s="4">
        <f>MONTH(H215)</f>
        <v>11</v>
      </c>
      <c r="D215" s="4">
        <f>DAY(H215)</f>
        <v>29</v>
      </c>
      <c r="E215" s="4" t="str">
        <f>TEXT(H215,"dddd")</f>
        <v>Wednesday</v>
      </c>
      <c r="F215" s="4" t="str">
        <f t="shared" si="4"/>
        <v>November</v>
      </c>
      <c r="G215" s="4"/>
      <c r="H215" s="3">
        <v>45259</v>
      </c>
      <c r="I215" s="4" t="s">
        <v>249</v>
      </c>
      <c r="J215" s="4" t="s">
        <v>27</v>
      </c>
      <c r="K215" s="4">
        <v>55</v>
      </c>
      <c r="L215" s="4" t="str" cm="1">
        <f t="array" ref="L215">_xlfn.IFS(K215&gt;=50, "Senior", K215&gt;=30, "Adult", K215&lt;30, "Young Adult")</f>
        <v>Senior</v>
      </c>
      <c r="M215" s="4" t="s">
        <v>8</v>
      </c>
      <c r="N215" s="4">
        <v>3</v>
      </c>
      <c r="O215" s="5">
        <v>500</v>
      </c>
      <c r="P215">
        <f>N215*O215</f>
        <v>1500</v>
      </c>
      <c r="Q215">
        <f>(P215*$U$4)</f>
        <v>22.5</v>
      </c>
    </row>
    <row r="216" spans="1:17">
      <c r="A216" s="2">
        <v>216</v>
      </c>
      <c r="B216" s="4">
        <f>YEAR(H216)</f>
        <v>2023</v>
      </c>
      <c r="C216" s="4">
        <f>MONTH(H216)</f>
        <v>7</v>
      </c>
      <c r="D216" s="4">
        <f>DAY(H216)</f>
        <v>11</v>
      </c>
      <c r="E216" s="4" t="str">
        <f>TEXT(H216,"dddd")</f>
        <v>Tuesday</v>
      </c>
      <c r="F216" s="4" t="str">
        <f t="shared" si="4"/>
        <v>July</v>
      </c>
      <c r="G216" s="4"/>
      <c r="H216" s="3">
        <v>45118</v>
      </c>
      <c r="I216" s="4" t="s">
        <v>250</v>
      </c>
      <c r="J216" s="4" t="s">
        <v>27</v>
      </c>
      <c r="K216" s="4">
        <v>55</v>
      </c>
      <c r="L216" s="4" t="str" cm="1">
        <f t="array" ref="L216">_xlfn.IFS(K216&gt;=50, "Senior", K216&gt;=30, "Adult", K216&lt;30, "Young Adult")</f>
        <v>Senior</v>
      </c>
      <c r="M216" s="4" t="s">
        <v>10</v>
      </c>
      <c r="N216" s="4">
        <v>2</v>
      </c>
      <c r="O216" s="5">
        <v>50</v>
      </c>
      <c r="P216">
        <f>N216*O216</f>
        <v>100</v>
      </c>
      <c r="Q216">
        <f>(P216*$U$4)</f>
        <v>1.5</v>
      </c>
    </row>
    <row r="217" spans="1:17">
      <c r="A217" s="2">
        <v>217</v>
      </c>
      <c r="B217" s="4">
        <f>YEAR(H217)</f>
        <v>2023</v>
      </c>
      <c r="C217" s="4">
        <f>MONTH(H217)</f>
        <v>8</v>
      </c>
      <c r="D217" s="4">
        <f>DAY(H217)</f>
        <v>13</v>
      </c>
      <c r="E217" s="4" t="str">
        <f>TEXT(H217,"dddd")</f>
        <v>Sunday</v>
      </c>
      <c r="F217" s="4" t="str">
        <f t="shared" si="4"/>
        <v>August</v>
      </c>
      <c r="G217" s="4"/>
      <c r="H217" s="3">
        <v>45151</v>
      </c>
      <c r="I217" s="4" t="s">
        <v>251</v>
      </c>
      <c r="J217" s="4" t="s">
        <v>29</v>
      </c>
      <c r="K217" s="4">
        <v>54</v>
      </c>
      <c r="L217" s="4" t="str" cm="1">
        <f t="array" ref="L217">_xlfn.IFS(K217&gt;=50, "Senior", K217&gt;=30, "Adult", K217&lt;30, "Young Adult")</f>
        <v>Senior</v>
      </c>
      <c r="M217" s="4" t="s">
        <v>10</v>
      </c>
      <c r="N217" s="4">
        <v>4</v>
      </c>
      <c r="O217" s="5">
        <v>50</v>
      </c>
      <c r="P217">
        <f>N217*O217</f>
        <v>200</v>
      </c>
      <c r="Q217">
        <f>(P217*$U$4)</f>
        <v>3</v>
      </c>
    </row>
    <row r="218" spans="1:17">
      <c r="A218" s="2">
        <v>218</v>
      </c>
      <c r="B218" s="4">
        <f>YEAR(H218)</f>
        <v>2023</v>
      </c>
      <c r="C218" s="4">
        <f>MONTH(H218)</f>
        <v>9</v>
      </c>
      <c r="D218" s="4">
        <f>DAY(H218)</f>
        <v>22</v>
      </c>
      <c r="E218" s="4" t="str">
        <f>TEXT(H218,"dddd")</f>
        <v>Friday</v>
      </c>
      <c r="F218" s="4" t="str">
        <f t="shared" si="4"/>
        <v>September</v>
      </c>
      <c r="G218" s="4"/>
      <c r="H218" s="3">
        <v>45191</v>
      </c>
      <c r="I218" s="4" t="s">
        <v>252</v>
      </c>
      <c r="J218" s="4" t="s">
        <v>27</v>
      </c>
      <c r="K218" s="4">
        <v>54</v>
      </c>
      <c r="L218" s="4" t="str" cm="1">
        <f t="array" ref="L218">_xlfn.IFS(K218&gt;=50, "Senior", K218&gt;=30, "Adult", K218&lt;30, "Young Adult")</f>
        <v>Senior</v>
      </c>
      <c r="M218" s="4" t="s">
        <v>3</v>
      </c>
      <c r="N218" s="4">
        <v>3</v>
      </c>
      <c r="O218" s="5">
        <v>30</v>
      </c>
      <c r="P218">
        <f>N218*O218</f>
        <v>90</v>
      </c>
      <c r="Q218">
        <f>(P218*$U$4)</f>
        <v>1.3499999999999999</v>
      </c>
    </row>
    <row r="219" spans="1:17">
      <c r="A219" s="2">
        <v>219</v>
      </c>
      <c r="B219" s="4">
        <f>YEAR(H219)</f>
        <v>2023</v>
      </c>
      <c r="C219" s="4">
        <f>MONTH(H219)</f>
        <v>8</v>
      </c>
      <c r="D219" s="4">
        <f>DAY(H219)</f>
        <v>20</v>
      </c>
      <c r="E219" s="4" t="str">
        <f>TEXT(H219,"dddd")</f>
        <v>Sunday</v>
      </c>
      <c r="F219" s="4" t="str">
        <f t="shared" si="4"/>
        <v>August</v>
      </c>
      <c r="G219" s="4"/>
      <c r="H219" s="3">
        <v>45158</v>
      </c>
      <c r="I219" s="4" t="s">
        <v>253</v>
      </c>
      <c r="J219" s="4" t="s">
        <v>29</v>
      </c>
      <c r="K219" s="4">
        <v>54</v>
      </c>
      <c r="L219" s="4" t="str" cm="1">
        <f t="array" ref="L219">_xlfn.IFS(K219&gt;=50, "Senior", K219&gt;=30, "Adult", K219&lt;30, "Young Adult")</f>
        <v>Senior</v>
      </c>
      <c r="M219" s="4" t="s">
        <v>10</v>
      </c>
      <c r="N219" s="4">
        <v>3</v>
      </c>
      <c r="O219" s="5">
        <v>30</v>
      </c>
      <c r="P219">
        <f>N219*O219</f>
        <v>90</v>
      </c>
      <c r="Q219">
        <f>(P219*$U$4)</f>
        <v>1.3499999999999999</v>
      </c>
    </row>
    <row r="220" spans="1:17">
      <c r="A220" s="2">
        <v>220</v>
      </c>
      <c r="B220" s="4">
        <f>YEAR(H220)</f>
        <v>2023</v>
      </c>
      <c r="C220" s="4">
        <f>MONTH(H220)</f>
        <v>3</v>
      </c>
      <c r="D220" s="4">
        <f>DAY(H220)</f>
        <v>3</v>
      </c>
      <c r="E220" s="4" t="str">
        <f>TEXT(H220,"dddd")</f>
        <v>Friday</v>
      </c>
      <c r="F220" s="4" t="str">
        <f t="shared" si="4"/>
        <v>March</v>
      </c>
      <c r="G220" s="4"/>
      <c r="H220" s="3">
        <v>44988</v>
      </c>
      <c r="I220" s="4" t="s">
        <v>254</v>
      </c>
      <c r="J220" s="4" t="s">
        <v>27</v>
      </c>
      <c r="K220" s="4">
        <v>54</v>
      </c>
      <c r="L220" s="4" t="str" cm="1">
        <f t="array" ref="L220">_xlfn.IFS(K220&gt;=50, "Senior", K220&gt;=30, "Adult", K220&lt;30, "Young Adult")</f>
        <v>Senior</v>
      </c>
      <c r="M220" s="4" t="s">
        <v>3</v>
      </c>
      <c r="N220" s="4">
        <v>1</v>
      </c>
      <c r="O220" s="5">
        <v>500</v>
      </c>
      <c r="P220">
        <f>N220*O220</f>
        <v>500</v>
      </c>
      <c r="Q220">
        <f>(P220*$U$4)</f>
        <v>7.5</v>
      </c>
    </row>
    <row r="221" spans="1:17">
      <c r="A221" s="2">
        <v>221</v>
      </c>
      <c r="B221" s="4">
        <f>YEAR(H221)</f>
        <v>2023</v>
      </c>
      <c r="C221" s="4">
        <f>MONTH(H221)</f>
        <v>5</v>
      </c>
      <c r="D221" s="4">
        <f>DAY(H221)</f>
        <v>7</v>
      </c>
      <c r="E221" s="4" t="str">
        <f>TEXT(H221,"dddd")</f>
        <v>Sunday</v>
      </c>
      <c r="F221" s="4" t="str">
        <f t="shared" si="4"/>
        <v>May</v>
      </c>
      <c r="G221" s="4"/>
      <c r="H221" s="3">
        <v>45053</v>
      </c>
      <c r="I221" s="4" t="s">
        <v>255</v>
      </c>
      <c r="J221" s="4" t="s">
        <v>27</v>
      </c>
      <c r="K221" s="4">
        <v>54</v>
      </c>
      <c r="L221" s="4" t="str" cm="1">
        <f t="array" ref="L221">_xlfn.IFS(K221&gt;=50, "Senior", K221&gt;=30, "Adult", K221&lt;30, "Young Adult")</f>
        <v>Senior</v>
      </c>
      <c r="M221" s="4" t="s">
        <v>3</v>
      </c>
      <c r="N221" s="4">
        <v>2</v>
      </c>
      <c r="O221" s="5">
        <v>300</v>
      </c>
      <c r="P221">
        <f>N221*O221</f>
        <v>600</v>
      </c>
      <c r="Q221">
        <f>(P221*$U$4)</f>
        <v>9</v>
      </c>
    </row>
    <row r="222" spans="1:17">
      <c r="A222" s="2">
        <v>222</v>
      </c>
      <c r="B222" s="4">
        <f>YEAR(H222)</f>
        <v>2023</v>
      </c>
      <c r="C222" s="4">
        <f>MONTH(H222)</f>
        <v>4</v>
      </c>
      <c r="D222" s="4">
        <f>DAY(H222)</f>
        <v>26</v>
      </c>
      <c r="E222" s="4" t="str">
        <f>TEXT(H222,"dddd")</f>
        <v>Wednesday</v>
      </c>
      <c r="F222" s="4" t="str">
        <f t="shared" si="4"/>
        <v>April</v>
      </c>
      <c r="G222" s="4"/>
      <c r="H222" s="3">
        <v>45042</v>
      </c>
      <c r="I222" s="4" t="s">
        <v>256</v>
      </c>
      <c r="J222" s="4" t="s">
        <v>27</v>
      </c>
      <c r="K222" s="4">
        <v>54</v>
      </c>
      <c r="L222" s="4" t="str" cm="1">
        <f t="array" ref="L222">_xlfn.IFS(K222&gt;=50, "Senior", K222&gt;=30, "Adult", K222&lt;30, "Young Adult")</f>
        <v>Senior</v>
      </c>
      <c r="M222" s="4" t="s">
        <v>8</v>
      </c>
      <c r="N222" s="4">
        <v>4</v>
      </c>
      <c r="O222" s="5">
        <v>30</v>
      </c>
      <c r="P222">
        <f>N222*O222</f>
        <v>120</v>
      </c>
      <c r="Q222">
        <f>(P222*$U$4)</f>
        <v>1.7999999999999998</v>
      </c>
    </row>
    <row r="223" spans="1:17">
      <c r="A223" s="2">
        <v>223</v>
      </c>
      <c r="B223" s="4">
        <f>YEAR(H223)</f>
        <v>2023</v>
      </c>
      <c r="C223" s="4">
        <f>MONTH(H223)</f>
        <v>2</v>
      </c>
      <c r="D223" s="4">
        <f>DAY(H223)</f>
        <v>2</v>
      </c>
      <c r="E223" s="4" t="str">
        <f>TEXT(H223,"dddd")</f>
        <v>Thursday</v>
      </c>
      <c r="F223" s="4" t="str">
        <f t="shared" si="4"/>
        <v>February</v>
      </c>
      <c r="G223" s="4"/>
      <c r="H223" s="3">
        <v>44959</v>
      </c>
      <c r="I223" s="4" t="s">
        <v>257</v>
      </c>
      <c r="J223" s="4" t="s">
        <v>29</v>
      </c>
      <c r="K223" s="4">
        <v>54</v>
      </c>
      <c r="L223" s="4" t="str" cm="1">
        <f t="array" ref="L223">_xlfn.IFS(K223&gt;=50, "Senior", K223&gt;=30, "Adult", K223&lt;30, "Young Adult")</f>
        <v>Senior</v>
      </c>
      <c r="M223" s="4" t="s">
        <v>8</v>
      </c>
      <c r="N223" s="4">
        <v>1</v>
      </c>
      <c r="O223" s="5">
        <v>25</v>
      </c>
      <c r="P223">
        <f>N223*O223</f>
        <v>25</v>
      </c>
      <c r="Q223">
        <f>(P223*$U$4)</f>
        <v>0.375</v>
      </c>
    </row>
    <row r="224" spans="1:17">
      <c r="A224" s="2">
        <v>224</v>
      </c>
      <c r="B224" s="4">
        <f>YEAR(H224)</f>
        <v>2023</v>
      </c>
      <c r="C224" s="4">
        <f>MONTH(H224)</f>
        <v>6</v>
      </c>
      <c r="D224" s="4">
        <f>DAY(H224)</f>
        <v>23</v>
      </c>
      <c r="E224" s="4" t="str">
        <f>TEXT(H224,"dddd")</f>
        <v>Friday</v>
      </c>
      <c r="F224" s="4" t="str">
        <f t="shared" si="4"/>
        <v>June</v>
      </c>
      <c r="G224" s="4"/>
      <c r="H224" s="3">
        <v>45100</v>
      </c>
      <c r="I224" s="4" t="s">
        <v>258</v>
      </c>
      <c r="J224" s="4" t="s">
        <v>29</v>
      </c>
      <c r="K224" s="4">
        <v>54</v>
      </c>
      <c r="L224" s="4" t="str" cm="1">
        <f t="array" ref="L224">_xlfn.IFS(K224&gt;=50, "Senior", K224&gt;=30, "Adult", K224&lt;30, "Young Adult")</f>
        <v>Senior</v>
      </c>
      <c r="M224" s="4" t="s">
        <v>8</v>
      </c>
      <c r="N224" s="4">
        <v>1</v>
      </c>
      <c r="O224" s="5">
        <v>50</v>
      </c>
      <c r="P224">
        <f>N224*O224</f>
        <v>50</v>
      </c>
      <c r="Q224">
        <f>(P224*$U$4)</f>
        <v>0.75</v>
      </c>
    </row>
    <row r="225" spans="1:17">
      <c r="A225" s="2">
        <v>225</v>
      </c>
      <c r="B225" s="4">
        <f>YEAR(H225)</f>
        <v>2023</v>
      </c>
      <c r="C225" s="4">
        <f>MONTH(H225)</f>
        <v>1</v>
      </c>
      <c r="D225" s="4">
        <f>DAY(H225)</f>
        <v>11</v>
      </c>
      <c r="E225" s="4" t="str">
        <f>TEXT(H225,"dddd")</f>
        <v>Wednesday</v>
      </c>
      <c r="F225" s="4" t="str">
        <f t="shared" si="4"/>
        <v>January</v>
      </c>
      <c r="G225" s="4"/>
      <c r="H225" s="3">
        <v>44937</v>
      </c>
      <c r="I225" s="4" t="s">
        <v>259</v>
      </c>
      <c r="J225" s="4" t="s">
        <v>29</v>
      </c>
      <c r="K225" s="4">
        <v>54</v>
      </c>
      <c r="L225" s="4" t="str" cm="1">
        <f t="array" ref="L225">_xlfn.IFS(K225&gt;=50, "Senior", K225&gt;=30, "Adult", K225&lt;30, "Young Adult")</f>
        <v>Senior</v>
      </c>
      <c r="M225" s="4" t="s">
        <v>3</v>
      </c>
      <c r="N225" s="4">
        <v>4</v>
      </c>
      <c r="O225" s="5">
        <v>25</v>
      </c>
      <c r="P225">
        <f>N225*O225</f>
        <v>100</v>
      </c>
      <c r="Q225">
        <f>(P225*$U$4)</f>
        <v>1.5</v>
      </c>
    </row>
    <row r="226" spans="1:17">
      <c r="A226" s="2">
        <v>226</v>
      </c>
      <c r="B226" s="4">
        <f>YEAR(H226)</f>
        <v>2023</v>
      </c>
      <c r="C226" s="4">
        <f>MONTH(H226)</f>
        <v>10</v>
      </c>
      <c r="D226" s="4">
        <f>DAY(H226)</f>
        <v>29</v>
      </c>
      <c r="E226" s="4" t="str">
        <f>TEXT(H226,"dddd")</f>
        <v>Sunday</v>
      </c>
      <c r="F226" s="4" t="str">
        <f t="shared" si="4"/>
        <v>October</v>
      </c>
      <c r="G226" s="4"/>
      <c r="H226" s="3">
        <v>45228</v>
      </c>
      <c r="I226" s="4" t="s">
        <v>260</v>
      </c>
      <c r="J226" s="4" t="s">
        <v>29</v>
      </c>
      <c r="K226" s="4">
        <v>54</v>
      </c>
      <c r="L226" s="4" t="str" cm="1">
        <f t="array" ref="L226">_xlfn.IFS(K226&gt;=50, "Senior", K226&gt;=30, "Adult", K226&lt;30, "Young Adult")</f>
        <v>Senior</v>
      </c>
      <c r="M226" s="4" t="s">
        <v>8</v>
      </c>
      <c r="N226" s="4">
        <v>1</v>
      </c>
      <c r="O226" s="5">
        <v>50</v>
      </c>
      <c r="P226">
        <f>N226*O226</f>
        <v>50</v>
      </c>
      <c r="Q226">
        <f>(P226*$U$4)</f>
        <v>0.75</v>
      </c>
    </row>
    <row r="227" spans="1:17">
      <c r="A227" s="2">
        <v>227</v>
      </c>
      <c r="B227" s="4">
        <f>YEAR(H227)</f>
        <v>2023</v>
      </c>
      <c r="C227" s="4">
        <f>MONTH(H227)</f>
        <v>10</v>
      </c>
      <c r="D227" s="4">
        <f>DAY(H227)</f>
        <v>11</v>
      </c>
      <c r="E227" s="4" t="str">
        <f>TEXT(H227,"dddd")</f>
        <v>Wednesday</v>
      </c>
      <c r="F227" s="4" t="str">
        <f t="shared" si="4"/>
        <v>October</v>
      </c>
      <c r="G227" s="4"/>
      <c r="H227" s="3">
        <v>45210</v>
      </c>
      <c r="I227" s="4" t="s">
        <v>261</v>
      </c>
      <c r="J227" s="4" t="s">
        <v>27</v>
      </c>
      <c r="K227" s="4">
        <v>54</v>
      </c>
      <c r="L227" s="4" t="str" cm="1">
        <f t="array" ref="L227">_xlfn.IFS(K227&gt;=50, "Senior", K227&gt;=30, "Adult", K227&lt;30, "Young Adult")</f>
        <v>Senior</v>
      </c>
      <c r="M227" s="4" t="s">
        <v>10</v>
      </c>
      <c r="N227" s="4">
        <v>2</v>
      </c>
      <c r="O227" s="5">
        <v>50</v>
      </c>
      <c r="P227">
        <f>N227*O227</f>
        <v>100</v>
      </c>
      <c r="Q227">
        <f>(P227*$U$4)</f>
        <v>1.5</v>
      </c>
    </row>
    <row r="228" spans="1:17">
      <c r="A228" s="2">
        <v>228</v>
      </c>
      <c r="B228" s="4">
        <f>YEAR(H228)</f>
        <v>2023</v>
      </c>
      <c r="C228" s="4">
        <f>MONTH(H228)</f>
        <v>4</v>
      </c>
      <c r="D228" s="4">
        <f>DAY(H228)</f>
        <v>28</v>
      </c>
      <c r="E228" s="4" t="str">
        <f>TEXT(H228,"dddd")</f>
        <v>Friday</v>
      </c>
      <c r="F228" s="4" t="str">
        <f t="shared" si="4"/>
        <v>April</v>
      </c>
      <c r="G228" s="4"/>
      <c r="H228" s="3">
        <v>45044</v>
      </c>
      <c r="I228" s="4" t="s">
        <v>262</v>
      </c>
      <c r="J228" s="4" t="s">
        <v>29</v>
      </c>
      <c r="K228" s="4">
        <v>54</v>
      </c>
      <c r="L228" s="4" t="str" cm="1">
        <f t="array" ref="L228">_xlfn.IFS(K228&gt;=50, "Senior", K228&gt;=30, "Adult", K228&lt;30, "Young Adult")</f>
        <v>Senior</v>
      </c>
      <c r="M228" s="4" t="s">
        <v>10</v>
      </c>
      <c r="N228" s="4">
        <v>2</v>
      </c>
      <c r="O228" s="5">
        <v>30</v>
      </c>
      <c r="P228">
        <f>N228*O228</f>
        <v>60</v>
      </c>
      <c r="Q228">
        <f>(P228*$U$4)</f>
        <v>0.89999999999999991</v>
      </c>
    </row>
    <row r="229" spans="1:17">
      <c r="A229" s="2">
        <v>229</v>
      </c>
      <c r="B229" s="4">
        <f>YEAR(H229)</f>
        <v>2023</v>
      </c>
      <c r="C229" s="4">
        <f>MONTH(H229)</f>
        <v>10</v>
      </c>
      <c r="D229" s="4">
        <f>DAY(H229)</f>
        <v>29</v>
      </c>
      <c r="E229" s="4" t="str">
        <f>TEXT(H229,"dddd")</f>
        <v>Sunday</v>
      </c>
      <c r="F229" s="4" t="str">
        <f t="shared" si="4"/>
        <v>October</v>
      </c>
      <c r="G229" s="4"/>
      <c r="H229" s="3">
        <v>45228</v>
      </c>
      <c r="I229" s="4" t="s">
        <v>263</v>
      </c>
      <c r="J229" s="4" t="s">
        <v>27</v>
      </c>
      <c r="K229" s="4">
        <v>54</v>
      </c>
      <c r="L229" s="4" t="str" cm="1">
        <f t="array" ref="L229">_xlfn.IFS(K229&gt;=50, "Senior", K229&gt;=30, "Adult", K229&lt;30, "Young Adult")</f>
        <v>Senior</v>
      </c>
      <c r="M229" s="4" t="s">
        <v>3</v>
      </c>
      <c r="N229" s="4">
        <v>3</v>
      </c>
      <c r="O229" s="5">
        <v>30</v>
      </c>
      <c r="P229">
        <f>N229*O229</f>
        <v>90</v>
      </c>
      <c r="Q229">
        <f>(P229*$U$4)</f>
        <v>1.3499999999999999</v>
      </c>
    </row>
    <row r="230" spans="1:17">
      <c r="A230" s="2">
        <v>230</v>
      </c>
      <c r="B230" s="4">
        <f>YEAR(H230)</f>
        <v>2023</v>
      </c>
      <c r="C230" s="4">
        <f>MONTH(H230)</f>
        <v>4</v>
      </c>
      <c r="D230" s="4">
        <f>DAY(H230)</f>
        <v>23</v>
      </c>
      <c r="E230" s="4" t="str">
        <f>TEXT(H230,"dddd")</f>
        <v>Sunday</v>
      </c>
      <c r="F230" s="4" t="str">
        <f t="shared" si="4"/>
        <v>April</v>
      </c>
      <c r="G230" s="4"/>
      <c r="H230" s="3">
        <v>45039</v>
      </c>
      <c r="I230" s="4" t="s">
        <v>264</v>
      </c>
      <c r="J230" s="4" t="s">
        <v>27</v>
      </c>
      <c r="K230" s="4">
        <v>54</v>
      </c>
      <c r="L230" s="4" t="str" cm="1">
        <f t="array" ref="L230">_xlfn.IFS(K230&gt;=50, "Senior", K230&gt;=30, "Adult", K230&lt;30, "Young Adult")</f>
        <v>Senior</v>
      </c>
      <c r="M230" s="4" t="s">
        <v>3</v>
      </c>
      <c r="N230" s="4">
        <v>1</v>
      </c>
      <c r="O230" s="5">
        <v>25</v>
      </c>
      <c r="P230">
        <f>N230*O230</f>
        <v>25</v>
      </c>
      <c r="Q230">
        <f>(P230*$U$4)</f>
        <v>0.375</v>
      </c>
    </row>
    <row r="231" spans="1:17">
      <c r="A231" s="2">
        <v>231</v>
      </c>
      <c r="B231" s="4">
        <f>YEAR(H231)</f>
        <v>2023</v>
      </c>
      <c r="C231" s="4">
        <f>MONTH(H231)</f>
        <v>1</v>
      </c>
      <c r="D231" s="4">
        <f>DAY(H231)</f>
        <v>4</v>
      </c>
      <c r="E231" s="4" t="str">
        <f>TEXT(H231,"dddd")</f>
        <v>Wednesday</v>
      </c>
      <c r="F231" s="4" t="str">
        <f t="shared" si="4"/>
        <v>January</v>
      </c>
      <c r="G231" s="4"/>
      <c r="H231" s="3">
        <v>44930</v>
      </c>
      <c r="I231" s="4" t="s">
        <v>265</v>
      </c>
      <c r="J231" s="4" t="s">
        <v>29</v>
      </c>
      <c r="K231" s="4">
        <v>54</v>
      </c>
      <c r="L231" s="4" t="str" cm="1">
        <f t="array" ref="L231">_xlfn.IFS(K231&gt;=50, "Senior", K231&gt;=30, "Adult", K231&lt;30, "Young Adult")</f>
        <v>Senior</v>
      </c>
      <c r="M231" s="4" t="s">
        <v>8</v>
      </c>
      <c r="N231" s="4">
        <v>3</v>
      </c>
      <c r="O231" s="5">
        <v>50</v>
      </c>
      <c r="P231">
        <f>N231*O231</f>
        <v>150</v>
      </c>
      <c r="Q231">
        <f>(P231*$U$4)</f>
        <v>2.25</v>
      </c>
    </row>
    <row r="232" spans="1:17">
      <c r="A232" s="2">
        <v>232</v>
      </c>
      <c r="B232" s="4">
        <f>YEAR(H232)</f>
        <v>2023</v>
      </c>
      <c r="C232" s="4">
        <f>MONTH(H232)</f>
        <v>2</v>
      </c>
      <c r="D232" s="4">
        <f>DAY(H232)</f>
        <v>6</v>
      </c>
      <c r="E232" s="4" t="str">
        <f>TEXT(H232,"dddd")</f>
        <v>Monday</v>
      </c>
      <c r="F232" s="4" t="str">
        <f t="shared" si="4"/>
        <v>February</v>
      </c>
      <c r="G232" s="4"/>
      <c r="H232" s="3">
        <v>44963</v>
      </c>
      <c r="I232" s="4" t="s">
        <v>266</v>
      </c>
      <c r="J232" s="4" t="s">
        <v>29</v>
      </c>
      <c r="K232" s="4">
        <v>54</v>
      </c>
      <c r="L232" s="4" t="str" cm="1">
        <f t="array" ref="L232">_xlfn.IFS(K232&gt;=50, "Senior", K232&gt;=30, "Adult", K232&lt;30, "Young Adult")</f>
        <v>Senior</v>
      </c>
      <c r="M232" s="4" t="s">
        <v>3</v>
      </c>
      <c r="N232" s="4">
        <v>1</v>
      </c>
      <c r="O232" s="5">
        <v>25</v>
      </c>
      <c r="P232">
        <f>N232*O232</f>
        <v>25</v>
      </c>
      <c r="Q232">
        <f>(P232*$U$4)</f>
        <v>0.375</v>
      </c>
    </row>
    <row r="233" spans="1:17">
      <c r="A233" s="2">
        <v>233</v>
      </c>
      <c r="B233" s="4">
        <f>YEAR(H233)</f>
        <v>2023</v>
      </c>
      <c r="C233" s="4">
        <f>MONTH(H233)</f>
        <v>12</v>
      </c>
      <c r="D233" s="4">
        <f>DAY(H233)</f>
        <v>29</v>
      </c>
      <c r="E233" s="4" t="str">
        <f>TEXT(H233,"dddd")</f>
        <v>Friday</v>
      </c>
      <c r="F233" s="4" t="str">
        <f t="shared" si="4"/>
        <v>December</v>
      </c>
      <c r="G233" s="4"/>
      <c r="H233" s="3">
        <v>45289</v>
      </c>
      <c r="I233" s="4" t="s">
        <v>267</v>
      </c>
      <c r="J233" s="4" t="s">
        <v>29</v>
      </c>
      <c r="K233" s="4">
        <v>54</v>
      </c>
      <c r="L233" s="4" t="str" cm="1">
        <f t="array" ref="L233">_xlfn.IFS(K233&gt;=50, "Senior", K233&gt;=30, "Adult", K233&lt;30, "Young Adult")</f>
        <v>Senior</v>
      </c>
      <c r="M233" s="4" t="s">
        <v>3</v>
      </c>
      <c r="N233" s="4">
        <v>2</v>
      </c>
      <c r="O233" s="5">
        <v>300</v>
      </c>
      <c r="P233">
        <f>N233*O233</f>
        <v>600</v>
      </c>
      <c r="Q233">
        <f>(P233*$U$4)</f>
        <v>9</v>
      </c>
    </row>
    <row r="234" spans="1:17">
      <c r="A234" s="2">
        <v>234</v>
      </c>
      <c r="B234" s="4">
        <f>YEAR(H234)</f>
        <v>2023</v>
      </c>
      <c r="C234" s="4">
        <f>MONTH(H234)</f>
        <v>11</v>
      </c>
      <c r="D234" s="4">
        <f>DAY(H234)</f>
        <v>20</v>
      </c>
      <c r="E234" s="4" t="str">
        <f>TEXT(H234,"dddd")</f>
        <v>Monday</v>
      </c>
      <c r="F234" s="4" t="str">
        <f t="shared" si="4"/>
        <v>November</v>
      </c>
      <c r="G234" s="4"/>
      <c r="H234" s="3">
        <v>45250</v>
      </c>
      <c r="I234" s="4" t="s">
        <v>268</v>
      </c>
      <c r="J234" s="4" t="s">
        <v>29</v>
      </c>
      <c r="K234" s="4">
        <v>54</v>
      </c>
      <c r="L234" s="4" t="str" cm="1">
        <f t="array" ref="L234">_xlfn.IFS(K234&gt;=50, "Senior", K234&gt;=30, "Adult", K234&lt;30, "Young Adult")</f>
        <v>Senior</v>
      </c>
      <c r="M234" s="4" t="s">
        <v>10</v>
      </c>
      <c r="N234" s="4">
        <v>2</v>
      </c>
      <c r="O234" s="5">
        <v>25</v>
      </c>
      <c r="P234">
        <f>N234*O234</f>
        <v>50</v>
      </c>
      <c r="Q234">
        <f>(P234*$U$4)</f>
        <v>0.75</v>
      </c>
    </row>
    <row r="235" spans="1:17">
      <c r="A235" s="2">
        <v>235</v>
      </c>
      <c r="B235" s="4">
        <f>YEAR(H235)</f>
        <v>2023</v>
      </c>
      <c r="C235" s="4">
        <f>MONTH(H235)</f>
        <v>1</v>
      </c>
      <c r="D235" s="4">
        <f>DAY(H235)</f>
        <v>31</v>
      </c>
      <c r="E235" s="4" t="str">
        <f>TEXT(H235,"dddd")</f>
        <v>Tuesday</v>
      </c>
      <c r="F235" s="4" t="str">
        <f t="shared" si="4"/>
        <v>January</v>
      </c>
      <c r="G235" s="4"/>
      <c r="H235" s="3">
        <v>44957</v>
      </c>
      <c r="I235" s="4" t="s">
        <v>269</v>
      </c>
      <c r="J235" s="4" t="s">
        <v>29</v>
      </c>
      <c r="K235" s="4">
        <v>54</v>
      </c>
      <c r="L235" s="4" t="str" cm="1">
        <f t="array" ref="L235">_xlfn.IFS(K235&gt;=50, "Senior", K235&gt;=30, "Adult", K235&lt;30, "Young Adult")</f>
        <v>Senior</v>
      </c>
      <c r="M235" s="4" t="s">
        <v>10</v>
      </c>
      <c r="N235" s="4">
        <v>2</v>
      </c>
      <c r="O235" s="5">
        <v>500</v>
      </c>
      <c r="P235">
        <f>N235*O235</f>
        <v>1000</v>
      </c>
      <c r="Q235">
        <f>(P235*$U$4)</f>
        <v>15</v>
      </c>
    </row>
    <row r="236" spans="1:17">
      <c r="A236" s="2">
        <v>236</v>
      </c>
      <c r="B236" s="4">
        <f>YEAR(H236)</f>
        <v>2023</v>
      </c>
      <c r="C236" s="4">
        <f>MONTH(H236)</f>
        <v>4</v>
      </c>
      <c r="D236" s="4">
        <f>DAY(H236)</f>
        <v>28</v>
      </c>
      <c r="E236" s="4" t="str">
        <f>TEXT(H236,"dddd")</f>
        <v>Friday</v>
      </c>
      <c r="F236" s="4" t="str">
        <f t="shared" si="4"/>
        <v>April</v>
      </c>
      <c r="G236" s="4"/>
      <c r="H236" s="3">
        <v>45044</v>
      </c>
      <c r="I236" s="4" t="s">
        <v>270</v>
      </c>
      <c r="J236" s="4" t="s">
        <v>29</v>
      </c>
      <c r="K236" s="4">
        <v>54</v>
      </c>
      <c r="L236" s="4" t="str" cm="1">
        <f t="array" ref="L236">_xlfn.IFS(K236&gt;=50, "Senior", K236&gt;=30, "Adult", K236&lt;30, "Young Adult")</f>
        <v>Senior</v>
      </c>
      <c r="M236" s="4" t="s">
        <v>8</v>
      </c>
      <c r="N236" s="4">
        <v>1</v>
      </c>
      <c r="O236" s="5">
        <v>25</v>
      </c>
      <c r="P236">
        <f>N236*O236</f>
        <v>25</v>
      </c>
      <c r="Q236">
        <f>(P236*$U$4)</f>
        <v>0.375</v>
      </c>
    </row>
    <row r="237" spans="1:17">
      <c r="A237" s="2">
        <v>237</v>
      </c>
      <c r="B237" s="4">
        <f>YEAR(H237)</f>
        <v>2023</v>
      </c>
      <c r="C237" s="4">
        <f>MONTH(H237)</f>
        <v>2</v>
      </c>
      <c r="D237" s="4">
        <f>DAY(H237)</f>
        <v>4</v>
      </c>
      <c r="E237" s="4" t="str">
        <f>TEXT(H237,"dddd")</f>
        <v>Saturday</v>
      </c>
      <c r="F237" s="4" t="str">
        <f t="shared" si="4"/>
        <v>February</v>
      </c>
      <c r="G237" s="4"/>
      <c r="H237" s="3">
        <v>44961</v>
      </c>
      <c r="I237" s="4" t="s">
        <v>271</v>
      </c>
      <c r="J237" s="4" t="s">
        <v>29</v>
      </c>
      <c r="K237" s="4">
        <v>54</v>
      </c>
      <c r="L237" s="4" t="str" cm="1">
        <f t="array" ref="L237">_xlfn.IFS(K237&gt;=50, "Senior", K237&gt;=30, "Adult", K237&lt;30, "Young Adult")</f>
        <v>Senior</v>
      </c>
      <c r="M237" s="4" t="s">
        <v>3</v>
      </c>
      <c r="N237" s="4">
        <v>2</v>
      </c>
      <c r="O237" s="5">
        <v>500</v>
      </c>
      <c r="P237">
        <f>N237*O237</f>
        <v>1000</v>
      </c>
      <c r="Q237">
        <f>(P237*$U$4)</f>
        <v>15</v>
      </c>
    </row>
    <row r="238" spans="1:17">
      <c r="A238" s="2">
        <v>238</v>
      </c>
      <c r="B238" s="4">
        <f>YEAR(H238)</f>
        <v>2023</v>
      </c>
      <c r="C238" s="4">
        <f>MONTH(H238)</f>
        <v>1</v>
      </c>
      <c r="D238" s="4">
        <f>DAY(H238)</f>
        <v>17</v>
      </c>
      <c r="E238" s="4" t="str">
        <f>TEXT(H238,"dddd")</f>
        <v>Tuesday</v>
      </c>
      <c r="F238" s="4" t="str">
        <f t="shared" si="4"/>
        <v>January</v>
      </c>
      <c r="G238" s="4"/>
      <c r="H238" s="3">
        <v>44943</v>
      </c>
      <c r="I238" s="4" t="s">
        <v>272</v>
      </c>
      <c r="J238" s="4" t="s">
        <v>29</v>
      </c>
      <c r="K238" s="4">
        <v>54</v>
      </c>
      <c r="L238" s="4" t="str" cm="1">
        <f t="array" ref="L238">_xlfn.IFS(K238&gt;=50, "Senior", K238&gt;=30, "Adult", K238&lt;30, "Young Adult")</f>
        <v>Senior</v>
      </c>
      <c r="M238" s="4" t="s">
        <v>3</v>
      </c>
      <c r="N238" s="4">
        <v>1</v>
      </c>
      <c r="O238" s="5">
        <v>500</v>
      </c>
      <c r="P238">
        <f>N238*O238</f>
        <v>500</v>
      </c>
      <c r="Q238">
        <f>(P238*$U$4)</f>
        <v>7.5</v>
      </c>
    </row>
    <row r="239" spans="1:17">
      <c r="A239" s="2">
        <v>239</v>
      </c>
      <c r="B239" s="4">
        <f>YEAR(H239)</f>
        <v>2023</v>
      </c>
      <c r="C239" s="4">
        <f>MONTH(H239)</f>
        <v>6</v>
      </c>
      <c r="D239" s="4">
        <f>DAY(H239)</f>
        <v>19</v>
      </c>
      <c r="E239" s="4" t="str">
        <f>TEXT(H239,"dddd")</f>
        <v>Monday</v>
      </c>
      <c r="F239" s="4" t="str">
        <f t="shared" si="4"/>
        <v>June</v>
      </c>
      <c r="G239" s="4"/>
      <c r="H239" s="3">
        <v>45096</v>
      </c>
      <c r="I239" s="4" t="s">
        <v>273</v>
      </c>
      <c r="J239" s="4" t="s">
        <v>27</v>
      </c>
      <c r="K239" s="4">
        <v>54</v>
      </c>
      <c r="L239" s="4" t="str" cm="1">
        <f t="array" ref="L239">_xlfn.IFS(K239&gt;=50, "Senior", K239&gt;=30, "Adult", K239&lt;30, "Young Adult")</f>
        <v>Senior</v>
      </c>
      <c r="M239" s="4" t="s">
        <v>10</v>
      </c>
      <c r="N239" s="4">
        <v>3</v>
      </c>
      <c r="O239" s="5">
        <v>500</v>
      </c>
      <c r="P239">
        <f>N239*O239</f>
        <v>1500</v>
      </c>
      <c r="Q239">
        <f>(P239*$U$4)</f>
        <v>22.5</v>
      </c>
    </row>
    <row r="240" spans="1:17">
      <c r="A240" s="2">
        <v>240</v>
      </c>
      <c r="B240" s="4">
        <f>YEAR(H240)</f>
        <v>2023</v>
      </c>
      <c r="C240" s="4">
        <f>MONTH(H240)</f>
        <v>2</v>
      </c>
      <c r="D240" s="4">
        <f>DAY(H240)</f>
        <v>6</v>
      </c>
      <c r="E240" s="4" t="str">
        <f>TEXT(H240,"dddd")</f>
        <v>Monday</v>
      </c>
      <c r="F240" s="4" t="str">
        <f t="shared" si="4"/>
        <v>February</v>
      </c>
      <c r="G240" s="4"/>
      <c r="H240" s="3">
        <v>44963</v>
      </c>
      <c r="I240" s="4" t="s">
        <v>274</v>
      </c>
      <c r="J240" s="4" t="s">
        <v>29</v>
      </c>
      <c r="K240" s="4">
        <v>54</v>
      </c>
      <c r="L240" s="4" t="str" cm="1">
        <f t="array" ref="L240">_xlfn.IFS(K240&gt;=50, "Senior", K240&gt;=30, "Adult", K240&lt;30, "Young Adult")</f>
        <v>Senior</v>
      </c>
      <c r="M240" s="4" t="s">
        <v>3</v>
      </c>
      <c r="N240" s="4">
        <v>1</v>
      </c>
      <c r="O240" s="5">
        <v>300</v>
      </c>
      <c r="P240">
        <f>N240*O240</f>
        <v>300</v>
      </c>
      <c r="Q240">
        <f>(P240*$U$4)</f>
        <v>4.5</v>
      </c>
    </row>
    <row r="241" spans="1:17">
      <c r="A241" s="2">
        <v>241</v>
      </c>
      <c r="B241" s="4">
        <f>YEAR(H241)</f>
        <v>2023</v>
      </c>
      <c r="C241" s="4">
        <f>MONTH(H241)</f>
        <v>9</v>
      </c>
      <c r="D241" s="4">
        <f>DAY(H241)</f>
        <v>21</v>
      </c>
      <c r="E241" s="4" t="str">
        <f>TEXT(H241,"dddd")</f>
        <v>Thursday</v>
      </c>
      <c r="F241" s="4" t="str">
        <f t="shared" si="4"/>
        <v>September</v>
      </c>
      <c r="G241" s="4"/>
      <c r="H241" s="3">
        <v>45190</v>
      </c>
      <c r="I241" s="4" t="s">
        <v>275</v>
      </c>
      <c r="J241" s="4" t="s">
        <v>29</v>
      </c>
      <c r="K241" s="4">
        <v>54</v>
      </c>
      <c r="L241" s="4" t="str" cm="1">
        <f t="array" ref="L241">_xlfn.IFS(K241&gt;=50, "Senior", K241&gt;=30, "Adult", K241&lt;30, "Young Adult")</f>
        <v>Senior</v>
      </c>
      <c r="M241" s="4" t="s">
        <v>10</v>
      </c>
      <c r="N241" s="4">
        <v>3</v>
      </c>
      <c r="O241" s="5">
        <v>25</v>
      </c>
      <c r="P241">
        <f>N241*O241</f>
        <v>75</v>
      </c>
      <c r="Q241">
        <f>(P241*$U$4)</f>
        <v>1.125</v>
      </c>
    </row>
    <row r="242" spans="1:17">
      <c r="A242" s="2">
        <v>242</v>
      </c>
      <c r="B242" s="4">
        <f>YEAR(H242)</f>
        <v>2023</v>
      </c>
      <c r="C242" s="4">
        <f>MONTH(H242)</f>
        <v>5</v>
      </c>
      <c r="D242" s="4">
        <f>DAY(H242)</f>
        <v>2</v>
      </c>
      <c r="E242" s="4" t="str">
        <f>TEXT(H242,"dddd")</f>
        <v>Tuesday</v>
      </c>
      <c r="F242" s="4" t="str">
        <f t="shared" si="4"/>
        <v>May</v>
      </c>
      <c r="G242" s="4"/>
      <c r="H242" s="3">
        <v>45048</v>
      </c>
      <c r="I242" s="4" t="s">
        <v>276</v>
      </c>
      <c r="J242" s="4" t="s">
        <v>27</v>
      </c>
      <c r="K242" s="4">
        <v>54</v>
      </c>
      <c r="L242" s="4" t="str" cm="1">
        <f t="array" ref="L242">_xlfn.IFS(K242&gt;=50, "Senior", K242&gt;=30, "Adult", K242&lt;30, "Young Adult")</f>
        <v>Senior</v>
      </c>
      <c r="M242" s="4" t="s">
        <v>8</v>
      </c>
      <c r="N242" s="4">
        <v>1</v>
      </c>
      <c r="O242" s="5">
        <v>25</v>
      </c>
      <c r="P242">
        <f>N242*O242</f>
        <v>25</v>
      </c>
      <c r="Q242">
        <f>(P242*$U$4)</f>
        <v>0.375</v>
      </c>
    </row>
    <row r="243" spans="1:17">
      <c r="A243" s="2">
        <v>243</v>
      </c>
      <c r="B243" s="4">
        <f>YEAR(H243)</f>
        <v>2023</v>
      </c>
      <c r="C243" s="4">
        <f>MONTH(H243)</f>
        <v>5</v>
      </c>
      <c r="D243" s="4">
        <f>DAY(H243)</f>
        <v>23</v>
      </c>
      <c r="E243" s="4" t="str">
        <f>TEXT(H243,"dddd")</f>
        <v>Tuesday</v>
      </c>
      <c r="F243" s="4" t="str">
        <f t="shared" si="4"/>
        <v>May</v>
      </c>
      <c r="G243" s="4"/>
      <c r="H243" s="3">
        <v>45069</v>
      </c>
      <c r="I243" s="4" t="s">
        <v>277</v>
      </c>
      <c r="J243" s="4" t="s">
        <v>29</v>
      </c>
      <c r="K243" s="4">
        <v>54</v>
      </c>
      <c r="L243" s="4" t="str" cm="1">
        <f t="array" ref="L243">_xlfn.IFS(K243&gt;=50, "Senior", K243&gt;=30, "Adult", K243&lt;30, "Young Adult")</f>
        <v>Senior</v>
      </c>
      <c r="M243" s="4" t="s">
        <v>10</v>
      </c>
      <c r="N243" s="4">
        <v>3</v>
      </c>
      <c r="O243" s="5">
        <v>300</v>
      </c>
      <c r="P243">
        <f>N243*O243</f>
        <v>900</v>
      </c>
      <c r="Q243">
        <f>(P243*$U$4)</f>
        <v>13.5</v>
      </c>
    </row>
    <row r="244" spans="1:17">
      <c r="A244" s="2">
        <v>244</v>
      </c>
      <c r="B244" s="4">
        <f>YEAR(H244)</f>
        <v>2023</v>
      </c>
      <c r="C244" s="4">
        <f>MONTH(H244)</f>
        <v>12</v>
      </c>
      <c r="D244" s="4">
        <f>DAY(H244)</f>
        <v>9</v>
      </c>
      <c r="E244" s="4" t="str">
        <f>TEXT(H244,"dddd")</f>
        <v>Saturday</v>
      </c>
      <c r="F244" s="4" t="str">
        <f t="shared" si="4"/>
        <v>December</v>
      </c>
      <c r="G244" s="4"/>
      <c r="H244" s="3">
        <v>45269</v>
      </c>
      <c r="I244" s="4" t="s">
        <v>278</v>
      </c>
      <c r="J244" s="4" t="s">
        <v>27</v>
      </c>
      <c r="K244" s="4">
        <v>54</v>
      </c>
      <c r="L244" s="4" t="str" cm="1">
        <f t="array" ref="L244">_xlfn.IFS(K244&gt;=50, "Senior", K244&gt;=30, "Adult", K244&lt;30, "Young Adult")</f>
        <v>Senior</v>
      </c>
      <c r="M244" s="4" t="s">
        <v>3</v>
      </c>
      <c r="N244" s="4">
        <v>2</v>
      </c>
      <c r="O244" s="5">
        <v>50</v>
      </c>
      <c r="P244">
        <f>N244*O244</f>
        <v>100</v>
      </c>
      <c r="Q244">
        <f>(P244*$U$4)</f>
        <v>1.5</v>
      </c>
    </row>
    <row r="245" spans="1:17">
      <c r="A245" s="2">
        <v>245</v>
      </c>
      <c r="B245" s="4">
        <f>YEAR(H245)</f>
        <v>2023</v>
      </c>
      <c r="C245" s="4">
        <f>MONTH(H245)</f>
        <v>9</v>
      </c>
      <c r="D245" s="4">
        <f>DAY(H245)</f>
        <v>6</v>
      </c>
      <c r="E245" s="4" t="str">
        <f>TEXT(H245,"dddd")</f>
        <v>Wednesday</v>
      </c>
      <c r="F245" s="4" t="str">
        <f t="shared" si="4"/>
        <v>September</v>
      </c>
      <c r="G245" s="4"/>
      <c r="H245" s="3">
        <v>45175</v>
      </c>
      <c r="I245" s="4" t="s">
        <v>279</v>
      </c>
      <c r="J245" s="4" t="s">
        <v>27</v>
      </c>
      <c r="K245" s="4">
        <v>53</v>
      </c>
      <c r="L245" s="4" t="str" cm="1">
        <f t="array" ref="L245">_xlfn.IFS(K245&gt;=50, "Senior", K245&gt;=30, "Adult", K245&lt;30, "Young Adult")</f>
        <v>Senior</v>
      </c>
      <c r="M245" s="4" t="s">
        <v>8</v>
      </c>
      <c r="N245" s="4">
        <v>3</v>
      </c>
      <c r="O245" s="5">
        <v>30</v>
      </c>
      <c r="P245">
        <f>N245*O245</f>
        <v>90</v>
      </c>
      <c r="Q245">
        <f>(P245*$U$4)</f>
        <v>1.3499999999999999</v>
      </c>
    </row>
    <row r="246" spans="1:17">
      <c r="A246" s="2">
        <v>246</v>
      </c>
      <c r="B246" s="4">
        <f>YEAR(H246)</f>
        <v>2023</v>
      </c>
      <c r="C246" s="4">
        <f>MONTH(H246)</f>
        <v>4</v>
      </c>
      <c r="D246" s="4">
        <f>DAY(H246)</f>
        <v>20</v>
      </c>
      <c r="E246" s="4" t="str">
        <f>TEXT(H246,"dddd")</f>
        <v>Thursday</v>
      </c>
      <c r="F246" s="4" t="str">
        <f t="shared" si="4"/>
        <v>April</v>
      </c>
      <c r="G246" s="4"/>
      <c r="H246" s="3">
        <v>45036</v>
      </c>
      <c r="I246" s="4" t="s">
        <v>280</v>
      </c>
      <c r="J246" s="4" t="s">
        <v>29</v>
      </c>
      <c r="K246" s="4">
        <v>53</v>
      </c>
      <c r="L246" s="4" t="str" cm="1">
        <f t="array" ref="L246">_xlfn.IFS(K246&gt;=50, "Senior", K246&gt;=30, "Adult", K246&lt;30, "Young Adult")</f>
        <v>Senior</v>
      </c>
      <c r="M246" s="4" t="s">
        <v>10</v>
      </c>
      <c r="N246" s="4">
        <v>2</v>
      </c>
      <c r="O246" s="5">
        <v>25</v>
      </c>
      <c r="P246">
        <f>N246*O246</f>
        <v>50</v>
      </c>
      <c r="Q246">
        <f>(P246*$U$4)</f>
        <v>0.75</v>
      </c>
    </row>
    <row r="247" spans="1:17">
      <c r="A247" s="2">
        <v>247</v>
      </c>
      <c r="B247" s="4">
        <f>YEAR(H247)</f>
        <v>2023</v>
      </c>
      <c r="C247" s="4">
        <f>MONTH(H247)</f>
        <v>10</v>
      </c>
      <c r="D247" s="4">
        <f>DAY(H247)</f>
        <v>4</v>
      </c>
      <c r="E247" s="4" t="str">
        <f>TEXT(H247,"dddd")</f>
        <v>Wednesday</v>
      </c>
      <c r="F247" s="4" t="str">
        <f t="shared" si="4"/>
        <v>October</v>
      </c>
      <c r="G247" s="4"/>
      <c r="H247" s="3">
        <v>45203</v>
      </c>
      <c r="I247" s="4" t="s">
        <v>281</v>
      </c>
      <c r="J247" s="4" t="s">
        <v>27</v>
      </c>
      <c r="K247" s="4">
        <v>53</v>
      </c>
      <c r="L247" s="4" t="str" cm="1">
        <f t="array" ref="L247">_xlfn.IFS(K247&gt;=50, "Senior", K247&gt;=30, "Adult", K247&lt;30, "Young Adult")</f>
        <v>Senior</v>
      </c>
      <c r="M247" s="4" t="s">
        <v>10</v>
      </c>
      <c r="N247" s="4">
        <v>2</v>
      </c>
      <c r="O247" s="5">
        <v>30</v>
      </c>
      <c r="P247">
        <f>N247*O247</f>
        <v>60</v>
      </c>
      <c r="Q247">
        <f>(P247*$U$4)</f>
        <v>0.89999999999999991</v>
      </c>
    </row>
    <row r="248" spans="1:17">
      <c r="A248" s="2">
        <v>248</v>
      </c>
      <c r="B248" s="4">
        <f>YEAR(H248)</f>
        <v>2023</v>
      </c>
      <c r="C248" s="4">
        <f>MONTH(H248)</f>
        <v>3</v>
      </c>
      <c r="D248" s="4">
        <f>DAY(H248)</f>
        <v>9</v>
      </c>
      <c r="E248" s="4" t="str">
        <f>TEXT(H248,"dddd")</f>
        <v>Thursday</v>
      </c>
      <c r="F248" s="4" t="str">
        <f t="shared" si="4"/>
        <v>March</v>
      </c>
      <c r="G248" s="4"/>
      <c r="H248" s="3">
        <v>44994</v>
      </c>
      <c r="I248" s="4" t="s">
        <v>282</v>
      </c>
      <c r="J248" s="4" t="s">
        <v>27</v>
      </c>
      <c r="K248" s="4">
        <v>53</v>
      </c>
      <c r="L248" s="4" t="str" cm="1">
        <f t="array" ref="L248">_xlfn.IFS(K248&gt;=50, "Senior", K248&gt;=30, "Adult", K248&lt;30, "Young Adult")</f>
        <v>Senior</v>
      </c>
      <c r="M248" s="4" t="s">
        <v>8</v>
      </c>
      <c r="N248" s="4">
        <v>3</v>
      </c>
      <c r="O248" s="5">
        <v>300</v>
      </c>
      <c r="P248">
        <f>N248*O248</f>
        <v>900</v>
      </c>
      <c r="Q248">
        <f>(P248*$U$4)</f>
        <v>13.5</v>
      </c>
    </row>
    <row r="249" spans="1:17">
      <c r="A249" s="2">
        <v>249</v>
      </c>
      <c r="B249" s="4">
        <f>YEAR(H249)</f>
        <v>2023</v>
      </c>
      <c r="C249" s="4">
        <f>MONTH(H249)</f>
        <v>10</v>
      </c>
      <c r="D249" s="4">
        <f>DAY(H249)</f>
        <v>20</v>
      </c>
      <c r="E249" s="4" t="str">
        <f>TEXT(H249,"dddd")</f>
        <v>Friday</v>
      </c>
      <c r="F249" s="4" t="str">
        <f t="shared" si="4"/>
        <v>October</v>
      </c>
      <c r="G249" s="4"/>
      <c r="H249" s="3">
        <v>45219</v>
      </c>
      <c r="I249" s="4" t="s">
        <v>283</v>
      </c>
      <c r="J249" s="4" t="s">
        <v>27</v>
      </c>
      <c r="K249" s="4">
        <v>53</v>
      </c>
      <c r="L249" s="4" t="str" cm="1">
        <f t="array" ref="L249">_xlfn.IFS(K249&gt;=50, "Senior", K249&gt;=30, "Adult", K249&lt;30, "Young Adult")</f>
        <v>Senior</v>
      </c>
      <c r="M249" s="4" t="s">
        <v>8</v>
      </c>
      <c r="N249" s="4">
        <v>1</v>
      </c>
      <c r="O249" s="5">
        <v>50</v>
      </c>
      <c r="P249">
        <f>N249*O249</f>
        <v>50</v>
      </c>
      <c r="Q249">
        <f>(P249*$U$4)</f>
        <v>0.75</v>
      </c>
    </row>
    <row r="250" spans="1:17">
      <c r="A250" s="2">
        <v>250</v>
      </c>
      <c r="B250" s="4">
        <f>YEAR(H250)</f>
        <v>2023</v>
      </c>
      <c r="C250" s="4">
        <f>MONTH(H250)</f>
        <v>10</v>
      </c>
      <c r="D250" s="4">
        <f>DAY(H250)</f>
        <v>23</v>
      </c>
      <c r="E250" s="4" t="str">
        <f>TEXT(H250,"dddd")</f>
        <v>Monday</v>
      </c>
      <c r="F250" s="4" t="str">
        <f t="shared" si="4"/>
        <v>October</v>
      </c>
      <c r="G250" s="4"/>
      <c r="H250" s="3">
        <v>45222</v>
      </c>
      <c r="I250" s="4" t="s">
        <v>284</v>
      </c>
      <c r="J250" s="4" t="s">
        <v>27</v>
      </c>
      <c r="K250" s="4">
        <v>53</v>
      </c>
      <c r="L250" s="4" t="str" cm="1">
        <f t="array" ref="L250">_xlfn.IFS(K250&gt;=50, "Senior", K250&gt;=30, "Adult", K250&lt;30, "Young Adult")</f>
        <v>Senior</v>
      </c>
      <c r="M250" s="4" t="s">
        <v>10</v>
      </c>
      <c r="N250" s="4">
        <v>1</v>
      </c>
      <c r="O250" s="5">
        <v>50</v>
      </c>
      <c r="P250">
        <f>N250*O250</f>
        <v>50</v>
      </c>
      <c r="Q250">
        <f>(P250*$U$4)</f>
        <v>0.75</v>
      </c>
    </row>
    <row r="251" spans="1:17">
      <c r="A251" s="2">
        <v>251</v>
      </c>
      <c r="B251" s="4">
        <f>YEAR(H251)</f>
        <v>2023</v>
      </c>
      <c r="C251" s="4">
        <f>MONTH(H251)</f>
        <v>8</v>
      </c>
      <c r="D251" s="4">
        <f>DAY(H251)</f>
        <v>31</v>
      </c>
      <c r="E251" s="4" t="str">
        <f>TEXT(H251,"dddd")</f>
        <v>Thursday</v>
      </c>
      <c r="F251" s="4" t="str">
        <f t="shared" si="4"/>
        <v>August</v>
      </c>
      <c r="G251" s="4"/>
      <c r="H251" s="3">
        <v>45169</v>
      </c>
      <c r="I251" s="4" t="s">
        <v>285</v>
      </c>
      <c r="J251" s="4" t="s">
        <v>29</v>
      </c>
      <c r="K251" s="4">
        <v>53</v>
      </c>
      <c r="L251" s="4" t="str" cm="1">
        <f t="array" ref="L251">_xlfn.IFS(K251&gt;=50, "Senior", K251&gt;=30, "Adult", K251&lt;30, "Young Adult")</f>
        <v>Senior</v>
      </c>
      <c r="M251" s="4" t="s">
        <v>3</v>
      </c>
      <c r="N251" s="4">
        <v>4</v>
      </c>
      <c r="O251" s="5">
        <v>50</v>
      </c>
      <c r="P251">
        <f>N251*O251</f>
        <v>200</v>
      </c>
      <c r="Q251">
        <f>(P251*$U$4)</f>
        <v>3</v>
      </c>
    </row>
    <row r="252" spans="1:17">
      <c r="A252" s="2">
        <v>252</v>
      </c>
      <c r="B252" s="4">
        <f>YEAR(H252)</f>
        <v>2023</v>
      </c>
      <c r="C252" s="4">
        <f>MONTH(H252)</f>
        <v>5</v>
      </c>
      <c r="D252" s="4">
        <f>DAY(H252)</f>
        <v>5</v>
      </c>
      <c r="E252" s="4" t="str">
        <f>TEXT(H252,"dddd")</f>
        <v>Friday</v>
      </c>
      <c r="F252" s="4" t="str">
        <f t="shared" si="4"/>
        <v>May</v>
      </c>
      <c r="G252" s="4"/>
      <c r="H252" s="3">
        <v>45051</v>
      </c>
      <c r="I252" s="4" t="s">
        <v>286</v>
      </c>
      <c r="J252" s="4" t="s">
        <v>27</v>
      </c>
      <c r="K252" s="4">
        <v>53</v>
      </c>
      <c r="L252" s="4" t="str" cm="1">
        <f t="array" ref="L252">_xlfn.IFS(K252&gt;=50, "Senior", K252&gt;=30, "Adult", K252&lt;30, "Young Adult")</f>
        <v>Senior</v>
      </c>
      <c r="M252" s="4" t="s">
        <v>10</v>
      </c>
      <c r="N252" s="4">
        <v>1</v>
      </c>
      <c r="O252" s="5">
        <v>300</v>
      </c>
      <c r="P252">
        <f>N252*O252</f>
        <v>300</v>
      </c>
      <c r="Q252">
        <f>(P252*$U$4)</f>
        <v>4.5</v>
      </c>
    </row>
    <row r="253" spans="1:17">
      <c r="A253" s="2">
        <v>253</v>
      </c>
      <c r="B253" s="4">
        <f>YEAR(H253)</f>
        <v>2023</v>
      </c>
      <c r="C253" s="4">
        <f>MONTH(H253)</f>
        <v>8</v>
      </c>
      <c r="D253" s="4">
        <f>DAY(H253)</f>
        <v>31</v>
      </c>
      <c r="E253" s="4" t="str">
        <f>TEXT(H253,"dddd")</f>
        <v>Thursday</v>
      </c>
      <c r="F253" s="4" t="str">
        <f t="shared" si="4"/>
        <v>August</v>
      </c>
      <c r="G253" s="4"/>
      <c r="H253" s="3">
        <v>45169</v>
      </c>
      <c r="I253" s="4" t="s">
        <v>287</v>
      </c>
      <c r="J253" s="4" t="s">
        <v>29</v>
      </c>
      <c r="K253" s="4">
        <v>53</v>
      </c>
      <c r="L253" s="4" t="str" cm="1">
        <f t="array" ref="L253">_xlfn.IFS(K253&gt;=50, "Senior", K253&gt;=30, "Adult", K253&lt;30, "Young Adult")</f>
        <v>Senior</v>
      </c>
      <c r="M253" s="4" t="s">
        <v>8</v>
      </c>
      <c r="N253" s="4">
        <v>4</v>
      </c>
      <c r="O253" s="5">
        <v>500</v>
      </c>
      <c r="P253">
        <f>N253*O253</f>
        <v>2000</v>
      </c>
      <c r="Q253">
        <f>(P253*$U$4)</f>
        <v>30</v>
      </c>
    </row>
    <row r="254" spans="1:17">
      <c r="A254" s="2">
        <v>254</v>
      </c>
      <c r="B254" s="4">
        <f>YEAR(H254)</f>
        <v>2023</v>
      </c>
      <c r="C254" s="4">
        <f>MONTH(H254)</f>
        <v>7</v>
      </c>
      <c r="D254" s="4">
        <f>DAY(H254)</f>
        <v>28</v>
      </c>
      <c r="E254" s="4" t="str">
        <f>TEXT(H254,"dddd")</f>
        <v>Friday</v>
      </c>
      <c r="F254" s="4" t="str">
        <f t="shared" si="4"/>
        <v>July</v>
      </c>
      <c r="G254" s="4"/>
      <c r="H254" s="3">
        <v>45135</v>
      </c>
      <c r="I254" s="4" t="s">
        <v>288</v>
      </c>
      <c r="J254" s="4" t="s">
        <v>27</v>
      </c>
      <c r="K254" s="4">
        <v>53</v>
      </c>
      <c r="L254" s="4" t="str" cm="1">
        <f t="array" ref="L254">_xlfn.IFS(K254&gt;=50, "Senior", K254&gt;=30, "Adult", K254&lt;30, "Young Adult")</f>
        <v>Senior</v>
      </c>
      <c r="M254" s="4" t="s">
        <v>10</v>
      </c>
      <c r="N254" s="4">
        <v>1</v>
      </c>
      <c r="O254" s="5">
        <v>500</v>
      </c>
      <c r="P254">
        <f>N254*O254</f>
        <v>500</v>
      </c>
      <c r="Q254">
        <f>(P254*$U$4)</f>
        <v>7.5</v>
      </c>
    </row>
    <row r="255" spans="1:17">
      <c r="A255" s="2">
        <v>255</v>
      </c>
      <c r="B255" s="4">
        <f>YEAR(H255)</f>
        <v>2023</v>
      </c>
      <c r="C255" s="4">
        <f>MONTH(H255)</f>
        <v>4</v>
      </c>
      <c r="D255" s="4">
        <f>DAY(H255)</f>
        <v>8</v>
      </c>
      <c r="E255" s="4" t="str">
        <f>TEXT(H255,"dddd")</f>
        <v>Saturday</v>
      </c>
      <c r="F255" s="4" t="str">
        <f t="shared" si="4"/>
        <v>April</v>
      </c>
      <c r="G255" s="4"/>
      <c r="H255" s="3">
        <v>45024</v>
      </c>
      <c r="I255" s="4" t="s">
        <v>289</v>
      </c>
      <c r="J255" s="4" t="s">
        <v>27</v>
      </c>
      <c r="K255" s="4">
        <v>53</v>
      </c>
      <c r="L255" s="4" t="str" cm="1">
        <f t="array" ref="L255">_xlfn.IFS(K255&gt;=50, "Senior", K255&gt;=30, "Adult", K255&lt;30, "Young Adult")</f>
        <v>Senior</v>
      </c>
      <c r="M255" s="4" t="s">
        <v>8</v>
      </c>
      <c r="N255" s="4">
        <v>1</v>
      </c>
      <c r="O255" s="5">
        <v>30</v>
      </c>
      <c r="P255">
        <f>N255*O255</f>
        <v>30</v>
      </c>
      <c r="Q255">
        <f>(P255*$U$4)</f>
        <v>0.44999999999999996</v>
      </c>
    </row>
    <row r="256" spans="1:17">
      <c r="A256" s="2">
        <v>256</v>
      </c>
      <c r="B256" s="4">
        <f>YEAR(H256)</f>
        <v>2023</v>
      </c>
      <c r="C256" s="4">
        <f>MONTH(H256)</f>
        <v>2</v>
      </c>
      <c r="D256" s="4">
        <f>DAY(H256)</f>
        <v>18</v>
      </c>
      <c r="E256" s="4" t="str">
        <f>TEXT(H256,"dddd")</f>
        <v>Saturday</v>
      </c>
      <c r="F256" s="4" t="str">
        <f t="shared" si="4"/>
        <v>February</v>
      </c>
      <c r="G256" s="4"/>
      <c r="H256" s="3">
        <v>44975</v>
      </c>
      <c r="I256" s="4" t="s">
        <v>290</v>
      </c>
      <c r="J256" s="4" t="s">
        <v>27</v>
      </c>
      <c r="K256" s="4">
        <v>53</v>
      </c>
      <c r="L256" s="4" t="str" cm="1">
        <f t="array" ref="L256">_xlfn.IFS(K256&gt;=50, "Senior", K256&gt;=30, "Adult", K256&lt;30, "Young Adult")</f>
        <v>Senior</v>
      </c>
      <c r="M256" s="4" t="s">
        <v>8</v>
      </c>
      <c r="N256" s="4">
        <v>2</v>
      </c>
      <c r="O256" s="5">
        <v>500</v>
      </c>
      <c r="P256">
        <f>N256*O256</f>
        <v>1000</v>
      </c>
      <c r="Q256">
        <f>(P256*$U$4)</f>
        <v>15</v>
      </c>
    </row>
    <row r="257" spans="1:17">
      <c r="A257" s="2">
        <v>257</v>
      </c>
      <c r="B257" s="4">
        <f>YEAR(H257)</f>
        <v>2023</v>
      </c>
      <c r="C257" s="4">
        <f>MONTH(H257)</f>
        <v>2</v>
      </c>
      <c r="D257" s="4">
        <f>DAY(H257)</f>
        <v>19</v>
      </c>
      <c r="E257" s="4" t="str">
        <f>TEXT(H257,"dddd")</f>
        <v>Sunday</v>
      </c>
      <c r="F257" s="4" t="str">
        <f t="shared" si="4"/>
        <v>February</v>
      </c>
      <c r="G257" s="4"/>
      <c r="H257" s="3">
        <v>44976</v>
      </c>
      <c r="I257" s="4" t="s">
        <v>291</v>
      </c>
      <c r="J257" s="4" t="s">
        <v>27</v>
      </c>
      <c r="K257" s="4">
        <v>53</v>
      </c>
      <c r="L257" s="4" t="str" cm="1">
        <f t="array" ref="L257">_xlfn.IFS(K257&gt;=50, "Senior", K257&gt;=30, "Adult", K257&lt;30, "Young Adult")</f>
        <v>Senior</v>
      </c>
      <c r="M257" s="4" t="s">
        <v>3</v>
      </c>
      <c r="N257" s="4">
        <v>4</v>
      </c>
      <c r="O257" s="5">
        <v>500</v>
      </c>
      <c r="P257">
        <f>N257*O257</f>
        <v>2000</v>
      </c>
      <c r="Q257">
        <f>(P257*$U$4)</f>
        <v>30</v>
      </c>
    </row>
    <row r="258" spans="1:17">
      <c r="A258" s="2">
        <v>258</v>
      </c>
      <c r="B258" s="4">
        <f>YEAR(H258)</f>
        <v>2023</v>
      </c>
      <c r="C258" s="4">
        <f>MONTH(H258)</f>
        <v>12</v>
      </c>
      <c r="D258" s="4">
        <f>DAY(H258)</f>
        <v>4</v>
      </c>
      <c r="E258" s="4" t="str">
        <f>TEXT(H258,"dddd")</f>
        <v>Monday</v>
      </c>
      <c r="F258" s="4" t="str">
        <f t="shared" si="4"/>
        <v>December</v>
      </c>
      <c r="G258" s="4"/>
      <c r="H258" s="3">
        <v>45264</v>
      </c>
      <c r="I258" s="4" t="s">
        <v>292</v>
      </c>
      <c r="J258" s="4" t="s">
        <v>29</v>
      </c>
      <c r="K258" s="4">
        <v>53</v>
      </c>
      <c r="L258" s="4" t="str" cm="1">
        <f t="array" ref="L258">_xlfn.IFS(K258&gt;=50, "Senior", K258&gt;=30, "Adult", K258&lt;30, "Young Adult")</f>
        <v>Senior</v>
      </c>
      <c r="M258" s="4" t="s">
        <v>8</v>
      </c>
      <c r="N258" s="4">
        <v>1</v>
      </c>
      <c r="O258" s="5">
        <v>50</v>
      </c>
      <c r="P258">
        <f>N258*O258</f>
        <v>50</v>
      </c>
      <c r="Q258">
        <f>(P258*$U$4)</f>
        <v>0.75</v>
      </c>
    </row>
    <row r="259" spans="1:17">
      <c r="A259" s="2">
        <v>259</v>
      </c>
      <c r="B259" s="4">
        <f>YEAR(H259)</f>
        <v>2023</v>
      </c>
      <c r="C259" s="4">
        <f>MONTH(H259)</f>
        <v>8</v>
      </c>
      <c r="D259" s="4">
        <f>DAY(H259)</f>
        <v>9</v>
      </c>
      <c r="E259" s="4" t="str">
        <f>TEXT(H259,"dddd")</f>
        <v>Wednesday</v>
      </c>
      <c r="F259" s="4" t="str">
        <f t="shared" ref="F259:F322" si="5">TEXT(H259,"mmmm")</f>
        <v>August</v>
      </c>
      <c r="G259" s="4"/>
      <c r="H259" s="3">
        <v>45147</v>
      </c>
      <c r="I259" s="4" t="s">
        <v>293</v>
      </c>
      <c r="J259" s="4" t="s">
        <v>29</v>
      </c>
      <c r="K259" s="4">
        <v>53</v>
      </c>
      <c r="L259" s="4" t="str" cm="1">
        <f t="array" ref="L259">_xlfn.IFS(K259&gt;=50, "Senior", K259&gt;=30, "Adult", K259&lt;30, "Young Adult")</f>
        <v>Senior</v>
      </c>
      <c r="M259" s="4" t="s">
        <v>8</v>
      </c>
      <c r="N259" s="4">
        <v>4</v>
      </c>
      <c r="O259" s="5">
        <v>50</v>
      </c>
      <c r="P259">
        <f>N259*O259</f>
        <v>200</v>
      </c>
      <c r="Q259">
        <f>(P259*$U$4)</f>
        <v>3</v>
      </c>
    </row>
    <row r="260" spans="1:17">
      <c r="A260" s="2">
        <v>260</v>
      </c>
      <c r="B260" s="4">
        <f>YEAR(H260)</f>
        <v>2023</v>
      </c>
      <c r="C260" s="4">
        <f>MONTH(H260)</f>
        <v>7</v>
      </c>
      <c r="D260" s="4">
        <f>DAY(H260)</f>
        <v>1</v>
      </c>
      <c r="E260" s="4" t="str">
        <f>TEXT(H260,"dddd")</f>
        <v>Saturday</v>
      </c>
      <c r="F260" s="4" t="str">
        <f t="shared" si="5"/>
        <v>July</v>
      </c>
      <c r="G260" s="4"/>
      <c r="H260" s="3">
        <v>45108</v>
      </c>
      <c r="I260" s="4" t="s">
        <v>294</v>
      </c>
      <c r="J260" s="4" t="s">
        <v>27</v>
      </c>
      <c r="K260" s="4">
        <v>53</v>
      </c>
      <c r="L260" s="4" t="str" cm="1">
        <f t="array" ref="L260">_xlfn.IFS(K260&gt;=50, "Senior", K260&gt;=30, "Adult", K260&lt;30, "Young Adult")</f>
        <v>Senior</v>
      </c>
      <c r="M260" s="4" t="s">
        <v>3</v>
      </c>
      <c r="N260" s="4">
        <v>2</v>
      </c>
      <c r="O260" s="5">
        <v>30</v>
      </c>
      <c r="P260">
        <f>N260*O260</f>
        <v>60</v>
      </c>
      <c r="Q260">
        <f>(P260*$U$4)</f>
        <v>0.89999999999999991</v>
      </c>
    </row>
    <row r="261" spans="1:17">
      <c r="A261" s="2">
        <v>261</v>
      </c>
      <c r="B261" s="4">
        <f>YEAR(H261)</f>
        <v>2023</v>
      </c>
      <c r="C261" s="4">
        <f>MONTH(H261)</f>
        <v>8</v>
      </c>
      <c r="D261" s="4">
        <f>DAY(H261)</f>
        <v>5</v>
      </c>
      <c r="E261" s="4" t="str">
        <f>TEXT(H261,"dddd")</f>
        <v>Saturday</v>
      </c>
      <c r="F261" s="4" t="str">
        <f t="shared" si="5"/>
        <v>August</v>
      </c>
      <c r="G261" s="4"/>
      <c r="H261" s="3">
        <v>45143</v>
      </c>
      <c r="I261" s="4" t="s">
        <v>295</v>
      </c>
      <c r="J261" s="4" t="s">
        <v>27</v>
      </c>
      <c r="K261" s="4">
        <v>53</v>
      </c>
      <c r="L261" s="4" t="str" cm="1">
        <f t="array" ref="L261">_xlfn.IFS(K261&gt;=50, "Senior", K261&gt;=30, "Adult", K261&lt;30, "Young Adult")</f>
        <v>Senior</v>
      </c>
      <c r="M261" s="4" t="s">
        <v>8</v>
      </c>
      <c r="N261" s="4">
        <v>2</v>
      </c>
      <c r="O261" s="5">
        <v>25</v>
      </c>
      <c r="P261">
        <f>N261*O261</f>
        <v>50</v>
      </c>
      <c r="Q261">
        <f>(P261*$U$4)</f>
        <v>0.75</v>
      </c>
    </row>
    <row r="262" spans="1:17">
      <c r="A262" s="2">
        <v>262</v>
      </c>
      <c r="B262" s="4">
        <f>YEAR(H262)</f>
        <v>2023</v>
      </c>
      <c r="C262" s="4">
        <f>MONTH(H262)</f>
        <v>7</v>
      </c>
      <c r="D262" s="4">
        <f>DAY(H262)</f>
        <v>30</v>
      </c>
      <c r="E262" s="4" t="str">
        <f>TEXT(H262,"dddd")</f>
        <v>Sunday</v>
      </c>
      <c r="F262" s="4" t="str">
        <f t="shared" si="5"/>
        <v>July</v>
      </c>
      <c r="G262" s="4"/>
      <c r="H262" s="3">
        <v>45137</v>
      </c>
      <c r="I262" s="4" t="s">
        <v>296</v>
      </c>
      <c r="J262" s="4" t="s">
        <v>29</v>
      </c>
      <c r="K262" s="4">
        <v>52</v>
      </c>
      <c r="L262" s="4" t="str" cm="1">
        <f t="array" ref="L262">_xlfn.IFS(K262&gt;=50, "Senior", K262&gt;=30, "Adult", K262&lt;30, "Young Adult")</f>
        <v>Senior</v>
      </c>
      <c r="M262" s="4" t="s">
        <v>3</v>
      </c>
      <c r="N262" s="4">
        <v>4</v>
      </c>
      <c r="O262" s="5">
        <v>30</v>
      </c>
      <c r="P262">
        <f>N262*O262</f>
        <v>120</v>
      </c>
      <c r="Q262">
        <f>(P262*$U$4)</f>
        <v>1.7999999999999998</v>
      </c>
    </row>
    <row r="263" spans="1:17">
      <c r="A263" s="2">
        <v>263</v>
      </c>
      <c r="B263" s="4">
        <f>YEAR(H263)</f>
        <v>2023</v>
      </c>
      <c r="C263" s="4">
        <f>MONTH(H263)</f>
        <v>8</v>
      </c>
      <c r="D263" s="4">
        <f>DAY(H263)</f>
        <v>28</v>
      </c>
      <c r="E263" s="4" t="str">
        <f>TEXT(H263,"dddd")</f>
        <v>Monday</v>
      </c>
      <c r="F263" s="4" t="str">
        <f t="shared" si="5"/>
        <v>August</v>
      </c>
      <c r="G263" s="4"/>
      <c r="H263" s="3">
        <v>45166</v>
      </c>
      <c r="I263" s="4" t="s">
        <v>297</v>
      </c>
      <c r="J263" s="4" t="s">
        <v>27</v>
      </c>
      <c r="K263" s="4">
        <v>52</v>
      </c>
      <c r="L263" s="4" t="str" cm="1">
        <f t="array" ref="L263">_xlfn.IFS(K263&gt;=50, "Senior", K263&gt;=30, "Adult", K263&lt;30, "Young Adult")</f>
        <v>Senior</v>
      </c>
      <c r="M263" s="4" t="s">
        <v>3</v>
      </c>
      <c r="N263" s="4">
        <v>2</v>
      </c>
      <c r="O263" s="5">
        <v>30</v>
      </c>
      <c r="P263">
        <f>N263*O263</f>
        <v>60</v>
      </c>
      <c r="Q263">
        <f>(P263*$U$4)</f>
        <v>0.89999999999999991</v>
      </c>
    </row>
    <row r="264" spans="1:17">
      <c r="A264" s="2">
        <v>264</v>
      </c>
      <c r="B264" s="4">
        <f>YEAR(H264)</f>
        <v>2023</v>
      </c>
      <c r="C264" s="4">
        <f>MONTH(H264)</f>
        <v>1</v>
      </c>
      <c r="D264" s="4">
        <f>DAY(H264)</f>
        <v>28</v>
      </c>
      <c r="E264" s="4" t="str">
        <f>TEXT(H264,"dddd")</f>
        <v>Saturday</v>
      </c>
      <c r="F264" s="4" t="str">
        <f t="shared" si="5"/>
        <v>January</v>
      </c>
      <c r="G264" s="4"/>
      <c r="H264" s="3">
        <v>44954</v>
      </c>
      <c r="I264" s="4" t="s">
        <v>298</v>
      </c>
      <c r="J264" s="4" t="s">
        <v>27</v>
      </c>
      <c r="K264" s="4">
        <v>52</v>
      </c>
      <c r="L264" s="4" t="str" cm="1">
        <f t="array" ref="L264">_xlfn.IFS(K264&gt;=50, "Senior", K264&gt;=30, "Adult", K264&lt;30, "Young Adult")</f>
        <v>Senior</v>
      </c>
      <c r="M264" s="4" t="s">
        <v>8</v>
      </c>
      <c r="N264" s="4">
        <v>3</v>
      </c>
      <c r="O264" s="5">
        <v>300</v>
      </c>
      <c r="P264">
        <f>N264*O264</f>
        <v>900</v>
      </c>
      <c r="Q264">
        <f>(P264*$U$4)</f>
        <v>13.5</v>
      </c>
    </row>
    <row r="265" spans="1:17">
      <c r="A265" s="2">
        <v>265</v>
      </c>
      <c r="B265" s="4">
        <f>YEAR(H265)</f>
        <v>2023</v>
      </c>
      <c r="C265" s="4">
        <f>MONTH(H265)</f>
        <v>12</v>
      </c>
      <c r="D265" s="4">
        <f>DAY(H265)</f>
        <v>11</v>
      </c>
      <c r="E265" s="4" t="str">
        <f>TEXT(H265,"dddd")</f>
        <v>Monday</v>
      </c>
      <c r="F265" s="4" t="str">
        <f t="shared" si="5"/>
        <v>December</v>
      </c>
      <c r="G265" s="4"/>
      <c r="H265" s="3">
        <v>45271</v>
      </c>
      <c r="I265" s="4" t="s">
        <v>299</v>
      </c>
      <c r="J265" s="4" t="s">
        <v>27</v>
      </c>
      <c r="K265" s="4">
        <v>52</v>
      </c>
      <c r="L265" s="4" t="str" cm="1">
        <f t="array" ref="L265">_xlfn.IFS(K265&gt;=50, "Senior", K265&gt;=30, "Adult", K265&lt;30, "Young Adult")</f>
        <v>Senior</v>
      </c>
      <c r="M265" s="4" t="s">
        <v>8</v>
      </c>
      <c r="N265" s="4">
        <v>3</v>
      </c>
      <c r="O265" s="5">
        <v>300</v>
      </c>
      <c r="P265">
        <f>N265*O265</f>
        <v>900</v>
      </c>
      <c r="Q265">
        <f>(P265*$U$4)</f>
        <v>13.5</v>
      </c>
    </row>
    <row r="266" spans="1:17">
      <c r="A266" s="2">
        <v>266</v>
      </c>
      <c r="B266" s="4">
        <f>YEAR(H266)</f>
        <v>2023</v>
      </c>
      <c r="C266" s="4">
        <f>MONTH(H266)</f>
        <v>12</v>
      </c>
      <c r="D266" s="4">
        <f>DAY(H266)</f>
        <v>1</v>
      </c>
      <c r="E266" s="4" t="str">
        <f>TEXT(H266,"dddd")</f>
        <v>Friday</v>
      </c>
      <c r="F266" s="4" t="str">
        <f t="shared" si="5"/>
        <v>December</v>
      </c>
      <c r="G266" s="4"/>
      <c r="H266" s="3">
        <v>45261</v>
      </c>
      <c r="I266" s="4" t="s">
        <v>300</v>
      </c>
      <c r="J266" s="4" t="s">
        <v>29</v>
      </c>
      <c r="K266" s="4">
        <v>52</v>
      </c>
      <c r="L266" s="4" t="str" cm="1">
        <f t="array" ref="L266">_xlfn.IFS(K266&gt;=50, "Senior", K266&gt;=30, "Adult", K266&lt;30, "Young Adult")</f>
        <v>Senior</v>
      </c>
      <c r="M266" s="4" t="s">
        <v>10</v>
      </c>
      <c r="N266" s="4">
        <v>2</v>
      </c>
      <c r="O266" s="5">
        <v>30</v>
      </c>
      <c r="P266">
        <f>N266*O266</f>
        <v>60</v>
      </c>
      <c r="Q266">
        <f>(P266*$U$4)</f>
        <v>0.89999999999999991</v>
      </c>
    </row>
    <row r="267" spans="1:17">
      <c r="A267" s="2">
        <v>267</v>
      </c>
      <c r="B267" s="4">
        <f>YEAR(H267)</f>
        <v>2023</v>
      </c>
      <c r="C267" s="4">
        <f>MONTH(H267)</f>
        <v>11</v>
      </c>
      <c r="D267" s="4">
        <f>DAY(H267)</f>
        <v>27</v>
      </c>
      <c r="E267" s="4" t="str">
        <f>TEXT(H267,"dddd")</f>
        <v>Monday</v>
      </c>
      <c r="F267" s="4" t="str">
        <f t="shared" si="5"/>
        <v>November</v>
      </c>
      <c r="G267" s="4"/>
      <c r="H267" s="3">
        <v>45257</v>
      </c>
      <c r="I267" s="4" t="s">
        <v>301</v>
      </c>
      <c r="J267" s="4" t="s">
        <v>29</v>
      </c>
      <c r="K267" s="4">
        <v>52</v>
      </c>
      <c r="L267" s="4" t="str" cm="1">
        <f t="array" ref="L267">_xlfn.IFS(K267&gt;=50, "Senior", K267&gt;=30, "Adult", K267&lt;30, "Young Adult")</f>
        <v>Senior</v>
      </c>
      <c r="M267" s="4" t="s">
        <v>3</v>
      </c>
      <c r="N267" s="4">
        <v>3</v>
      </c>
      <c r="O267" s="5">
        <v>30</v>
      </c>
      <c r="P267">
        <f>N267*O267</f>
        <v>90</v>
      </c>
      <c r="Q267">
        <f>(P267*$U$4)</f>
        <v>1.3499999999999999</v>
      </c>
    </row>
    <row r="268" spans="1:17">
      <c r="A268" s="2">
        <v>268</v>
      </c>
      <c r="B268" s="4">
        <f>YEAR(H268)</f>
        <v>2023</v>
      </c>
      <c r="C268" s="4">
        <f>MONTH(H268)</f>
        <v>2</v>
      </c>
      <c r="D268" s="4">
        <f>DAY(H268)</f>
        <v>20</v>
      </c>
      <c r="E268" s="4" t="str">
        <f>TEXT(H268,"dddd")</f>
        <v>Monday</v>
      </c>
      <c r="F268" s="4" t="str">
        <f t="shared" si="5"/>
        <v>February</v>
      </c>
      <c r="G268" s="4"/>
      <c r="H268" s="3">
        <v>44977</v>
      </c>
      <c r="I268" s="4" t="s">
        <v>302</v>
      </c>
      <c r="J268" s="4" t="s">
        <v>29</v>
      </c>
      <c r="K268" s="4">
        <v>52</v>
      </c>
      <c r="L268" s="4" t="str" cm="1">
        <f t="array" ref="L268">_xlfn.IFS(K268&gt;=50, "Senior", K268&gt;=30, "Adult", K268&lt;30, "Young Adult")</f>
        <v>Senior</v>
      </c>
      <c r="M268" s="4" t="s">
        <v>10</v>
      </c>
      <c r="N268" s="4">
        <v>1</v>
      </c>
      <c r="O268" s="5">
        <v>30</v>
      </c>
      <c r="P268">
        <f>N268*O268</f>
        <v>30</v>
      </c>
      <c r="Q268">
        <f>(P268*$U$4)</f>
        <v>0.44999999999999996</v>
      </c>
    </row>
    <row r="269" spans="1:17">
      <c r="A269" s="2">
        <v>269</v>
      </c>
      <c r="B269" s="4">
        <f>YEAR(H269)</f>
        <v>2023</v>
      </c>
      <c r="C269" s="4">
        <f>MONTH(H269)</f>
        <v>2</v>
      </c>
      <c r="D269" s="4">
        <f>DAY(H269)</f>
        <v>1</v>
      </c>
      <c r="E269" s="4" t="str">
        <f>TEXT(H269,"dddd")</f>
        <v>Wednesday</v>
      </c>
      <c r="F269" s="4" t="str">
        <f t="shared" si="5"/>
        <v>February</v>
      </c>
      <c r="G269" s="4"/>
      <c r="H269" s="3">
        <v>44958</v>
      </c>
      <c r="I269" s="4" t="s">
        <v>303</v>
      </c>
      <c r="J269" s="4" t="s">
        <v>27</v>
      </c>
      <c r="K269" s="4">
        <v>52</v>
      </c>
      <c r="L269" s="4" t="str" cm="1">
        <f t="array" ref="L269">_xlfn.IFS(K269&gt;=50, "Senior", K269&gt;=30, "Adult", K269&lt;30, "Young Adult")</f>
        <v>Senior</v>
      </c>
      <c r="M269" s="4" t="s">
        <v>8</v>
      </c>
      <c r="N269" s="4">
        <v>4</v>
      </c>
      <c r="O269" s="5">
        <v>500</v>
      </c>
      <c r="P269">
        <f>N269*O269</f>
        <v>2000</v>
      </c>
      <c r="Q269">
        <f>(P269*$U$4)</f>
        <v>30</v>
      </c>
    </row>
    <row r="270" spans="1:17">
      <c r="A270" s="2">
        <v>270</v>
      </c>
      <c r="B270" s="4">
        <f>YEAR(H270)</f>
        <v>2023</v>
      </c>
      <c r="C270" s="4">
        <f>MONTH(H270)</f>
        <v>7</v>
      </c>
      <c r="D270" s="4">
        <f>DAY(H270)</f>
        <v>26</v>
      </c>
      <c r="E270" s="4" t="str">
        <f>TEXT(H270,"dddd")</f>
        <v>Wednesday</v>
      </c>
      <c r="F270" s="4" t="str">
        <f t="shared" si="5"/>
        <v>July</v>
      </c>
      <c r="G270" s="4"/>
      <c r="H270" s="3">
        <v>45133</v>
      </c>
      <c r="I270" s="4" t="s">
        <v>304</v>
      </c>
      <c r="J270" s="4" t="s">
        <v>27</v>
      </c>
      <c r="K270" s="4">
        <v>52</v>
      </c>
      <c r="L270" s="4" t="str" cm="1">
        <f t="array" ref="L270">_xlfn.IFS(K270&gt;=50, "Senior", K270&gt;=30, "Adult", K270&lt;30, "Young Adult")</f>
        <v>Senior</v>
      </c>
      <c r="M270" s="4" t="s">
        <v>10</v>
      </c>
      <c r="N270" s="4">
        <v>1</v>
      </c>
      <c r="O270" s="5">
        <v>300</v>
      </c>
      <c r="P270">
        <f>N270*O270</f>
        <v>300</v>
      </c>
      <c r="Q270">
        <f>(P270*$U$4)</f>
        <v>4.5</v>
      </c>
    </row>
    <row r="271" spans="1:17">
      <c r="A271" s="2">
        <v>271</v>
      </c>
      <c r="B271" s="4">
        <f>YEAR(H271)</f>
        <v>2023</v>
      </c>
      <c r="C271" s="4">
        <f>MONTH(H271)</f>
        <v>6</v>
      </c>
      <c r="D271" s="4">
        <f>DAY(H271)</f>
        <v>23</v>
      </c>
      <c r="E271" s="4" t="str">
        <f>TEXT(H271,"dddd")</f>
        <v>Friday</v>
      </c>
      <c r="F271" s="4" t="str">
        <f t="shared" si="5"/>
        <v>June</v>
      </c>
      <c r="G271" s="4"/>
      <c r="H271" s="3">
        <v>45100</v>
      </c>
      <c r="I271" s="4" t="s">
        <v>305</v>
      </c>
      <c r="J271" s="4" t="s">
        <v>29</v>
      </c>
      <c r="K271" s="4">
        <v>52</v>
      </c>
      <c r="L271" s="4" t="str" cm="1">
        <f t="array" ref="L271">_xlfn.IFS(K271&gt;=50, "Senior", K271&gt;=30, "Adult", K271&lt;30, "Young Adult")</f>
        <v>Senior</v>
      </c>
      <c r="M271" s="4" t="s">
        <v>3</v>
      </c>
      <c r="N271" s="4">
        <v>4</v>
      </c>
      <c r="O271" s="5">
        <v>30</v>
      </c>
      <c r="P271">
        <f>N271*O271</f>
        <v>120</v>
      </c>
      <c r="Q271">
        <f>(P271*$U$4)</f>
        <v>1.7999999999999998</v>
      </c>
    </row>
    <row r="272" spans="1:17">
      <c r="A272" s="2">
        <v>272</v>
      </c>
      <c r="B272" s="4">
        <f>YEAR(H272)</f>
        <v>2023</v>
      </c>
      <c r="C272" s="4">
        <f>MONTH(H272)</f>
        <v>2</v>
      </c>
      <c r="D272" s="4">
        <f>DAY(H272)</f>
        <v>25</v>
      </c>
      <c r="E272" s="4" t="str">
        <f>TEXT(H272,"dddd")</f>
        <v>Saturday</v>
      </c>
      <c r="F272" s="4" t="str">
        <f t="shared" si="5"/>
        <v>February</v>
      </c>
      <c r="G272" s="4"/>
      <c r="H272" s="3">
        <v>44982</v>
      </c>
      <c r="I272" s="4" t="s">
        <v>306</v>
      </c>
      <c r="J272" s="4" t="s">
        <v>29</v>
      </c>
      <c r="K272" s="4">
        <v>52</v>
      </c>
      <c r="L272" s="4" t="str" cm="1">
        <f t="array" ref="L272">_xlfn.IFS(K272&gt;=50, "Senior", K272&gt;=30, "Adult", K272&lt;30, "Young Adult")</f>
        <v>Senior</v>
      </c>
      <c r="M272" s="4" t="s">
        <v>10</v>
      </c>
      <c r="N272" s="4">
        <v>2</v>
      </c>
      <c r="O272" s="5">
        <v>50</v>
      </c>
      <c r="P272">
        <f>N272*O272</f>
        <v>100</v>
      </c>
      <c r="Q272">
        <f>(P272*$U$4)</f>
        <v>1.5</v>
      </c>
    </row>
    <row r="273" spans="1:17">
      <c r="A273" s="2">
        <v>273</v>
      </c>
      <c r="B273" s="4">
        <f>YEAR(H273)</f>
        <v>2023</v>
      </c>
      <c r="C273" s="4">
        <f>MONTH(H273)</f>
        <v>5</v>
      </c>
      <c r="D273" s="4">
        <f>DAY(H273)</f>
        <v>8</v>
      </c>
      <c r="E273" s="4" t="str">
        <f>TEXT(H273,"dddd")</f>
        <v>Monday</v>
      </c>
      <c r="F273" s="4" t="str">
        <f t="shared" si="5"/>
        <v>May</v>
      </c>
      <c r="G273" s="4"/>
      <c r="H273" s="3">
        <v>45054</v>
      </c>
      <c r="I273" s="4" t="s">
        <v>307</v>
      </c>
      <c r="J273" s="4" t="s">
        <v>29</v>
      </c>
      <c r="K273" s="4">
        <v>52</v>
      </c>
      <c r="L273" s="4" t="str" cm="1">
        <f t="array" ref="L273">_xlfn.IFS(K273&gt;=50, "Senior", K273&gt;=30, "Adult", K273&lt;30, "Young Adult")</f>
        <v>Senior</v>
      </c>
      <c r="M273" s="4" t="s">
        <v>3</v>
      </c>
      <c r="N273" s="4">
        <v>1</v>
      </c>
      <c r="O273" s="5">
        <v>50</v>
      </c>
      <c r="P273">
        <f>N273*O273</f>
        <v>50</v>
      </c>
      <c r="Q273">
        <f>(P273*$U$4)</f>
        <v>0.75</v>
      </c>
    </row>
    <row r="274" spans="1:17">
      <c r="A274" s="2">
        <v>274</v>
      </c>
      <c r="B274" s="4">
        <f>YEAR(H274)</f>
        <v>2023</v>
      </c>
      <c r="C274" s="4">
        <f>MONTH(H274)</f>
        <v>4</v>
      </c>
      <c r="D274" s="4">
        <f>DAY(H274)</f>
        <v>9</v>
      </c>
      <c r="E274" s="4" t="str">
        <f>TEXT(H274,"dddd")</f>
        <v>Sunday</v>
      </c>
      <c r="F274" s="4" t="str">
        <f t="shared" si="5"/>
        <v>April</v>
      </c>
      <c r="G274" s="4"/>
      <c r="H274" s="3">
        <v>45025</v>
      </c>
      <c r="I274" s="4" t="s">
        <v>308</v>
      </c>
      <c r="J274" s="4" t="s">
        <v>29</v>
      </c>
      <c r="K274" s="4">
        <v>52</v>
      </c>
      <c r="L274" s="4" t="str" cm="1">
        <f t="array" ref="L274">_xlfn.IFS(K274&gt;=50, "Senior", K274&gt;=30, "Adult", K274&lt;30, "Young Adult")</f>
        <v>Senior</v>
      </c>
      <c r="M274" s="4" t="s">
        <v>8</v>
      </c>
      <c r="N274" s="4">
        <v>2</v>
      </c>
      <c r="O274" s="5">
        <v>500</v>
      </c>
      <c r="P274">
        <f>N274*O274</f>
        <v>1000</v>
      </c>
      <c r="Q274">
        <f>(P274*$U$4)</f>
        <v>15</v>
      </c>
    </row>
    <row r="275" spans="1:17">
      <c r="A275" s="2">
        <v>275</v>
      </c>
      <c r="B275" s="4">
        <f>YEAR(H275)</f>
        <v>2023</v>
      </c>
      <c r="C275" s="4">
        <f>MONTH(H275)</f>
        <v>4</v>
      </c>
      <c r="D275" s="4">
        <f>DAY(H275)</f>
        <v>8</v>
      </c>
      <c r="E275" s="4" t="str">
        <f>TEXT(H275,"dddd")</f>
        <v>Saturday</v>
      </c>
      <c r="F275" s="4" t="str">
        <f t="shared" si="5"/>
        <v>April</v>
      </c>
      <c r="G275" s="4"/>
      <c r="H275" s="3">
        <v>45024</v>
      </c>
      <c r="I275" s="4" t="s">
        <v>309</v>
      </c>
      <c r="J275" s="4" t="s">
        <v>27</v>
      </c>
      <c r="K275" s="4">
        <v>52</v>
      </c>
      <c r="L275" s="4" t="str" cm="1">
        <f t="array" ref="L275">_xlfn.IFS(K275&gt;=50, "Senior", K275&gt;=30, "Adult", K275&lt;30, "Young Adult")</f>
        <v>Senior</v>
      </c>
      <c r="M275" s="4" t="s">
        <v>8</v>
      </c>
      <c r="N275" s="4">
        <v>2</v>
      </c>
      <c r="O275" s="5">
        <v>500</v>
      </c>
      <c r="P275">
        <f>N275*O275</f>
        <v>1000</v>
      </c>
      <c r="Q275">
        <f>(P275*$U$4)</f>
        <v>15</v>
      </c>
    </row>
    <row r="276" spans="1:17">
      <c r="A276" s="2">
        <v>276</v>
      </c>
      <c r="B276" s="4">
        <f>YEAR(H276)</f>
        <v>2023</v>
      </c>
      <c r="C276" s="4">
        <f>MONTH(H276)</f>
        <v>10</v>
      </c>
      <c r="D276" s="4">
        <f>DAY(H276)</f>
        <v>2</v>
      </c>
      <c r="E276" s="4" t="str">
        <f>TEXT(H276,"dddd")</f>
        <v>Monday</v>
      </c>
      <c r="F276" s="4" t="str">
        <f t="shared" si="5"/>
        <v>October</v>
      </c>
      <c r="G276" s="4"/>
      <c r="H276" s="3">
        <v>45201</v>
      </c>
      <c r="I276" s="4" t="s">
        <v>310</v>
      </c>
      <c r="J276" s="4" t="s">
        <v>29</v>
      </c>
      <c r="K276" s="4">
        <v>52</v>
      </c>
      <c r="L276" s="4" t="str" cm="1">
        <f t="array" ref="L276">_xlfn.IFS(K276&gt;=50, "Senior", K276&gt;=30, "Adult", K276&lt;30, "Young Adult")</f>
        <v>Senior</v>
      </c>
      <c r="M276" s="4" t="s">
        <v>3</v>
      </c>
      <c r="N276" s="4">
        <v>4</v>
      </c>
      <c r="O276" s="5">
        <v>25</v>
      </c>
      <c r="P276">
        <f>N276*O276</f>
        <v>100</v>
      </c>
      <c r="Q276">
        <f>(P276*$U$4)</f>
        <v>1.5</v>
      </c>
    </row>
    <row r="277" spans="1:17">
      <c r="A277" s="2">
        <v>277</v>
      </c>
      <c r="B277" s="4">
        <f>YEAR(H277)</f>
        <v>2023</v>
      </c>
      <c r="C277" s="4">
        <f>MONTH(H277)</f>
        <v>8</v>
      </c>
      <c r="D277" s="4">
        <f>DAY(H277)</f>
        <v>18</v>
      </c>
      <c r="E277" s="4" t="str">
        <f>TEXT(H277,"dddd")</f>
        <v>Friday</v>
      </c>
      <c r="F277" s="4" t="str">
        <f t="shared" si="5"/>
        <v>August</v>
      </c>
      <c r="G277" s="4"/>
      <c r="H277" s="3">
        <v>45156</v>
      </c>
      <c r="I277" s="4" t="s">
        <v>311</v>
      </c>
      <c r="J277" s="4" t="s">
        <v>27</v>
      </c>
      <c r="K277" s="4">
        <v>52</v>
      </c>
      <c r="L277" s="4" t="str" cm="1">
        <f t="array" ref="L277">_xlfn.IFS(K277&gt;=50, "Senior", K277&gt;=30, "Adult", K277&lt;30, "Young Adult")</f>
        <v>Senior</v>
      </c>
      <c r="M277" s="4" t="s">
        <v>8</v>
      </c>
      <c r="N277" s="4">
        <v>4</v>
      </c>
      <c r="O277" s="5">
        <v>25</v>
      </c>
      <c r="P277">
        <f>N277*O277</f>
        <v>100</v>
      </c>
      <c r="Q277">
        <f>(P277*$U$4)</f>
        <v>1.5</v>
      </c>
    </row>
    <row r="278" spans="1:17">
      <c r="A278" s="2">
        <v>278</v>
      </c>
      <c r="B278" s="4">
        <f>YEAR(H278)</f>
        <v>2023</v>
      </c>
      <c r="C278" s="4">
        <f>MONTH(H278)</f>
        <v>3</v>
      </c>
      <c r="D278" s="4">
        <f>DAY(H278)</f>
        <v>13</v>
      </c>
      <c r="E278" s="4" t="str">
        <f>TEXT(H278,"dddd")</f>
        <v>Monday</v>
      </c>
      <c r="F278" s="4" t="str">
        <f t="shared" si="5"/>
        <v>March</v>
      </c>
      <c r="G278" s="4"/>
      <c r="H278" s="3">
        <v>44998</v>
      </c>
      <c r="I278" s="4" t="s">
        <v>312</v>
      </c>
      <c r="J278" s="4" t="s">
        <v>29</v>
      </c>
      <c r="K278" s="4">
        <v>52</v>
      </c>
      <c r="L278" s="4" t="str" cm="1">
        <f t="array" ref="L278">_xlfn.IFS(K278&gt;=50, "Senior", K278&gt;=30, "Adult", K278&lt;30, "Young Adult")</f>
        <v>Senior</v>
      </c>
      <c r="M278" s="4" t="s">
        <v>8</v>
      </c>
      <c r="N278" s="4">
        <v>4</v>
      </c>
      <c r="O278" s="5">
        <v>25</v>
      </c>
      <c r="P278">
        <f>N278*O278</f>
        <v>100</v>
      </c>
      <c r="Q278">
        <f>(P278*$U$4)</f>
        <v>1.5</v>
      </c>
    </row>
    <row r="279" spans="1:17">
      <c r="A279" s="2">
        <v>279</v>
      </c>
      <c r="B279" s="4">
        <f>YEAR(H279)</f>
        <v>2023</v>
      </c>
      <c r="C279" s="4">
        <f>MONTH(H279)</f>
        <v>8</v>
      </c>
      <c r="D279" s="4">
        <f>DAY(H279)</f>
        <v>5</v>
      </c>
      <c r="E279" s="4" t="str">
        <f>TEXT(H279,"dddd")</f>
        <v>Saturday</v>
      </c>
      <c r="F279" s="4" t="str">
        <f t="shared" si="5"/>
        <v>August</v>
      </c>
      <c r="G279" s="4"/>
      <c r="H279" s="3">
        <v>45143</v>
      </c>
      <c r="I279" s="4" t="s">
        <v>313</v>
      </c>
      <c r="J279" s="4" t="s">
        <v>27</v>
      </c>
      <c r="K279" s="4">
        <v>52</v>
      </c>
      <c r="L279" s="4" t="str" cm="1">
        <f t="array" ref="L279">_xlfn.IFS(K279&gt;=50, "Senior", K279&gt;=30, "Adult", K279&lt;30, "Young Adult")</f>
        <v>Senior</v>
      </c>
      <c r="M279" s="4" t="s">
        <v>8</v>
      </c>
      <c r="N279" s="4">
        <v>1</v>
      </c>
      <c r="O279" s="5">
        <v>500</v>
      </c>
      <c r="P279">
        <f>N279*O279</f>
        <v>500</v>
      </c>
      <c r="Q279">
        <f>(P279*$U$4)</f>
        <v>7.5</v>
      </c>
    </row>
    <row r="280" spans="1:17">
      <c r="A280" s="2">
        <v>280</v>
      </c>
      <c r="B280" s="4">
        <f>YEAR(H280)</f>
        <v>2023</v>
      </c>
      <c r="C280" s="4">
        <f>MONTH(H280)</f>
        <v>4</v>
      </c>
      <c r="D280" s="4">
        <f>DAY(H280)</f>
        <v>4</v>
      </c>
      <c r="E280" s="4" t="str">
        <f>TEXT(H280,"dddd")</f>
        <v>Tuesday</v>
      </c>
      <c r="F280" s="4" t="str">
        <f t="shared" si="5"/>
        <v>April</v>
      </c>
      <c r="G280" s="4"/>
      <c r="H280" s="3">
        <v>45020</v>
      </c>
      <c r="I280" s="4" t="s">
        <v>314</v>
      </c>
      <c r="J280" s="4" t="s">
        <v>29</v>
      </c>
      <c r="K280" s="4">
        <v>52</v>
      </c>
      <c r="L280" s="4" t="str" cm="1">
        <f t="array" ref="L280">_xlfn.IFS(K280&gt;=50, "Senior", K280&gt;=30, "Adult", K280&lt;30, "Young Adult")</f>
        <v>Senior</v>
      </c>
      <c r="M280" s="4" t="s">
        <v>8</v>
      </c>
      <c r="N280" s="4">
        <v>3</v>
      </c>
      <c r="O280" s="5">
        <v>500</v>
      </c>
      <c r="P280">
        <f>N280*O280</f>
        <v>1500</v>
      </c>
      <c r="Q280">
        <f>(P280*$U$4)</f>
        <v>22.5</v>
      </c>
    </row>
    <row r="281" spans="1:17">
      <c r="A281" s="2">
        <v>281</v>
      </c>
      <c r="B281" s="4">
        <f>YEAR(H281)</f>
        <v>2023</v>
      </c>
      <c r="C281" s="4">
        <f>MONTH(H281)</f>
        <v>5</v>
      </c>
      <c r="D281" s="4">
        <f>DAY(H281)</f>
        <v>23</v>
      </c>
      <c r="E281" s="4" t="str">
        <f>TEXT(H281,"dddd")</f>
        <v>Tuesday</v>
      </c>
      <c r="F281" s="4" t="str">
        <f t="shared" si="5"/>
        <v>May</v>
      </c>
      <c r="G281" s="4"/>
      <c r="H281" s="3">
        <v>45069</v>
      </c>
      <c r="I281" s="4" t="s">
        <v>315</v>
      </c>
      <c r="J281" s="4" t="s">
        <v>29</v>
      </c>
      <c r="K281" s="4">
        <v>52</v>
      </c>
      <c r="L281" s="4" t="str" cm="1">
        <f t="array" ref="L281">_xlfn.IFS(K281&gt;=50, "Senior", K281&gt;=30, "Adult", K281&lt;30, "Young Adult")</f>
        <v>Senior</v>
      </c>
      <c r="M281" s="4" t="s">
        <v>3</v>
      </c>
      <c r="N281" s="4">
        <v>4</v>
      </c>
      <c r="O281" s="5">
        <v>500</v>
      </c>
      <c r="P281">
        <f>N281*O281</f>
        <v>2000</v>
      </c>
      <c r="Q281">
        <f>(P281*$U$4)</f>
        <v>30</v>
      </c>
    </row>
    <row r="282" spans="1:17">
      <c r="A282" s="2">
        <v>282</v>
      </c>
      <c r="B282" s="4">
        <f>YEAR(H282)</f>
        <v>2023</v>
      </c>
      <c r="C282" s="4">
        <f>MONTH(H282)</f>
        <v>8</v>
      </c>
      <c r="D282" s="4">
        <f>DAY(H282)</f>
        <v>25</v>
      </c>
      <c r="E282" s="4" t="str">
        <f>TEXT(H282,"dddd")</f>
        <v>Friday</v>
      </c>
      <c r="F282" s="4" t="str">
        <f t="shared" si="5"/>
        <v>August</v>
      </c>
      <c r="G282" s="4"/>
      <c r="H282" s="3">
        <v>45163</v>
      </c>
      <c r="I282" s="4" t="s">
        <v>316</v>
      </c>
      <c r="J282" s="4" t="s">
        <v>29</v>
      </c>
      <c r="K282" s="4">
        <v>52</v>
      </c>
      <c r="L282" s="4" t="str" cm="1">
        <f t="array" ref="L282">_xlfn.IFS(K282&gt;=50, "Senior", K282&gt;=30, "Adult", K282&lt;30, "Young Adult")</f>
        <v>Senior</v>
      </c>
      <c r="M282" s="4" t="s">
        <v>10</v>
      </c>
      <c r="N282" s="4">
        <v>4</v>
      </c>
      <c r="O282" s="5">
        <v>50</v>
      </c>
      <c r="P282">
        <f>N282*O282</f>
        <v>200</v>
      </c>
      <c r="Q282">
        <f>(P282*$U$4)</f>
        <v>3</v>
      </c>
    </row>
    <row r="283" spans="1:17">
      <c r="A283" s="2">
        <v>283</v>
      </c>
      <c r="B283" s="4">
        <f>YEAR(H283)</f>
        <v>2023</v>
      </c>
      <c r="C283" s="4">
        <f>MONTH(H283)</f>
        <v>5</v>
      </c>
      <c r="D283" s="4">
        <f>DAY(H283)</f>
        <v>8</v>
      </c>
      <c r="E283" s="4" t="str">
        <f>TEXT(H283,"dddd")</f>
        <v>Monday</v>
      </c>
      <c r="F283" s="4" t="str">
        <f t="shared" si="5"/>
        <v>May</v>
      </c>
      <c r="G283" s="4"/>
      <c r="H283" s="3">
        <v>45054</v>
      </c>
      <c r="I283" s="4" t="s">
        <v>317</v>
      </c>
      <c r="J283" s="4" t="s">
        <v>29</v>
      </c>
      <c r="K283" s="4">
        <v>52</v>
      </c>
      <c r="L283" s="4" t="str" cm="1">
        <f t="array" ref="L283">_xlfn.IFS(K283&gt;=50, "Senior", K283&gt;=30, "Adult", K283&lt;30, "Young Adult")</f>
        <v>Senior</v>
      </c>
      <c r="M283" s="4" t="s">
        <v>10</v>
      </c>
      <c r="N283" s="4">
        <v>1</v>
      </c>
      <c r="O283" s="5">
        <v>500</v>
      </c>
      <c r="P283">
        <f>N283*O283</f>
        <v>500</v>
      </c>
      <c r="Q283">
        <f>(P283*$U$4)</f>
        <v>7.5</v>
      </c>
    </row>
    <row r="284" spans="1:17">
      <c r="A284" s="2">
        <v>284</v>
      </c>
      <c r="B284" s="4">
        <f>YEAR(H284)</f>
        <v>2023</v>
      </c>
      <c r="C284" s="4">
        <f>MONTH(H284)</f>
        <v>2</v>
      </c>
      <c r="D284" s="4">
        <f>DAY(H284)</f>
        <v>8</v>
      </c>
      <c r="E284" s="4" t="str">
        <f>TEXT(H284,"dddd")</f>
        <v>Wednesday</v>
      </c>
      <c r="F284" s="4" t="str">
        <f t="shared" si="5"/>
        <v>February</v>
      </c>
      <c r="G284" s="4"/>
      <c r="H284" s="3">
        <v>44965</v>
      </c>
      <c r="I284" s="4" t="s">
        <v>318</v>
      </c>
      <c r="J284" s="4" t="s">
        <v>27</v>
      </c>
      <c r="K284" s="4">
        <v>51</v>
      </c>
      <c r="L284" s="4" t="str" cm="1">
        <f t="array" ref="L284">_xlfn.IFS(K284&gt;=50, "Senior", K284&gt;=30, "Adult", K284&lt;30, "Young Adult")</f>
        <v>Senior</v>
      </c>
      <c r="M284" s="4" t="s">
        <v>8</v>
      </c>
      <c r="N284" s="4">
        <v>4</v>
      </c>
      <c r="O284" s="5">
        <v>50</v>
      </c>
      <c r="P284">
        <f>N284*O284</f>
        <v>200</v>
      </c>
      <c r="Q284">
        <f>(P284*$U$4)</f>
        <v>3</v>
      </c>
    </row>
    <row r="285" spans="1:17">
      <c r="A285" s="2">
        <v>285</v>
      </c>
      <c r="B285" s="4">
        <f>YEAR(H285)</f>
        <v>2023</v>
      </c>
      <c r="C285" s="4">
        <f>MONTH(H285)</f>
        <v>8</v>
      </c>
      <c r="D285" s="4">
        <f>DAY(H285)</f>
        <v>15</v>
      </c>
      <c r="E285" s="4" t="str">
        <f>TEXT(H285,"dddd")</f>
        <v>Tuesday</v>
      </c>
      <c r="F285" s="4" t="str">
        <f t="shared" si="5"/>
        <v>August</v>
      </c>
      <c r="G285" s="4"/>
      <c r="H285" s="3">
        <v>45153</v>
      </c>
      <c r="I285" s="4" t="s">
        <v>319</v>
      </c>
      <c r="J285" s="4" t="s">
        <v>29</v>
      </c>
      <c r="K285" s="4">
        <v>51</v>
      </c>
      <c r="L285" s="4" t="str" cm="1">
        <f t="array" ref="L285">_xlfn.IFS(K285&gt;=50, "Senior", K285&gt;=30, "Adult", K285&lt;30, "Young Adult")</f>
        <v>Senior</v>
      </c>
      <c r="M285" s="4" t="s">
        <v>10</v>
      </c>
      <c r="N285" s="4">
        <v>1</v>
      </c>
      <c r="O285" s="5">
        <v>25</v>
      </c>
      <c r="P285">
        <f>N285*O285</f>
        <v>25</v>
      </c>
      <c r="Q285">
        <f>(P285*$U$4)</f>
        <v>0.375</v>
      </c>
    </row>
    <row r="286" spans="1:17">
      <c r="A286" s="2">
        <v>286</v>
      </c>
      <c r="B286" s="4">
        <f>YEAR(H286)</f>
        <v>2023</v>
      </c>
      <c r="C286" s="4">
        <f>MONTH(H286)</f>
        <v>10</v>
      </c>
      <c r="D286" s="4">
        <f>DAY(H286)</f>
        <v>9</v>
      </c>
      <c r="E286" s="4" t="str">
        <f>TEXT(H286,"dddd")</f>
        <v>Monday</v>
      </c>
      <c r="F286" s="4" t="str">
        <f t="shared" si="5"/>
        <v>October</v>
      </c>
      <c r="G286" s="4"/>
      <c r="H286" s="3">
        <v>45208</v>
      </c>
      <c r="I286" s="4" t="s">
        <v>320</v>
      </c>
      <c r="J286" s="4" t="s">
        <v>27</v>
      </c>
      <c r="K286" s="4">
        <v>51</v>
      </c>
      <c r="L286" s="4" t="str" cm="1">
        <f t="array" ref="L286">_xlfn.IFS(K286&gt;=50, "Senior", K286&gt;=30, "Adult", K286&lt;30, "Young Adult")</f>
        <v>Senior</v>
      </c>
      <c r="M286" s="4" t="s">
        <v>10</v>
      </c>
      <c r="N286" s="4">
        <v>2</v>
      </c>
      <c r="O286" s="5">
        <v>25</v>
      </c>
      <c r="P286">
        <f>N286*O286</f>
        <v>50</v>
      </c>
      <c r="Q286">
        <f>(P286*$U$4)</f>
        <v>0.75</v>
      </c>
    </row>
    <row r="287" spans="1:17">
      <c r="A287" s="2">
        <v>287</v>
      </c>
      <c r="B287" s="4">
        <f>YEAR(H287)</f>
        <v>2023</v>
      </c>
      <c r="C287" s="4">
        <f>MONTH(H287)</f>
        <v>2</v>
      </c>
      <c r="D287" s="4">
        <f>DAY(H287)</f>
        <v>20</v>
      </c>
      <c r="E287" s="4" t="str">
        <f>TEXT(H287,"dddd")</f>
        <v>Monday</v>
      </c>
      <c r="F287" s="4" t="str">
        <f t="shared" si="5"/>
        <v>February</v>
      </c>
      <c r="G287" s="4"/>
      <c r="H287" s="3">
        <v>44977</v>
      </c>
      <c r="I287" s="4" t="s">
        <v>321</v>
      </c>
      <c r="J287" s="4" t="s">
        <v>27</v>
      </c>
      <c r="K287" s="4">
        <v>51</v>
      </c>
      <c r="L287" s="4" t="str" cm="1">
        <f t="array" ref="L287">_xlfn.IFS(K287&gt;=50, "Senior", K287&gt;=30, "Adult", K287&lt;30, "Young Adult")</f>
        <v>Senior</v>
      </c>
      <c r="M287" s="4" t="s">
        <v>8</v>
      </c>
      <c r="N287" s="4">
        <v>4</v>
      </c>
      <c r="O287" s="5">
        <v>25</v>
      </c>
      <c r="P287">
        <f>N287*O287</f>
        <v>100</v>
      </c>
      <c r="Q287">
        <f>(P287*$U$4)</f>
        <v>1.5</v>
      </c>
    </row>
    <row r="288" spans="1:17">
      <c r="A288" s="2">
        <v>288</v>
      </c>
      <c r="B288" s="4">
        <f>YEAR(H288)</f>
        <v>2023</v>
      </c>
      <c r="C288" s="4">
        <f>MONTH(H288)</f>
        <v>1</v>
      </c>
      <c r="D288" s="4">
        <f>DAY(H288)</f>
        <v>26</v>
      </c>
      <c r="E288" s="4" t="str">
        <f>TEXT(H288,"dddd")</f>
        <v>Thursday</v>
      </c>
      <c r="F288" s="4" t="str">
        <f t="shared" si="5"/>
        <v>January</v>
      </c>
      <c r="G288" s="4"/>
      <c r="H288" s="3">
        <v>44952</v>
      </c>
      <c r="I288" s="4" t="s">
        <v>322</v>
      </c>
      <c r="J288" s="4" t="s">
        <v>27</v>
      </c>
      <c r="K288" s="4">
        <v>51</v>
      </c>
      <c r="L288" s="4" t="str" cm="1">
        <f t="array" ref="L288">_xlfn.IFS(K288&gt;=50, "Senior", K288&gt;=30, "Adult", K288&lt;30, "Young Adult")</f>
        <v>Senior</v>
      </c>
      <c r="M288" s="4" t="s">
        <v>8</v>
      </c>
      <c r="N288" s="4">
        <v>4</v>
      </c>
      <c r="O288" s="5">
        <v>30</v>
      </c>
      <c r="P288">
        <f>N288*O288</f>
        <v>120</v>
      </c>
      <c r="Q288">
        <f>(P288*$U$4)</f>
        <v>1.7999999999999998</v>
      </c>
    </row>
    <row r="289" spans="1:17">
      <c r="A289" s="2">
        <v>289</v>
      </c>
      <c r="B289" s="4">
        <f>YEAR(H289)</f>
        <v>2023</v>
      </c>
      <c r="C289" s="4">
        <f>MONTH(H289)</f>
        <v>11</v>
      </c>
      <c r="D289" s="4">
        <f>DAY(H289)</f>
        <v>30</v>
      </c>
      <c r="E289" s="4" t="str">
        <f>TEXT(H289,"dddd")</f>
        <v>Thursday</v>
      </c>
      <c r="F289" s="4" t="str">
        <f t="shared" si="5"/>
        <v>November</v>
      </c>
      <c r="G289" s="4"/>
      <c r="H289" s="3">
        <v>45260</v>
      </c>
      <c r="I289" s="4" t="s">
        <v>323</v>
      </c>
      <c r="J289" s="4" t="s">
        <v>27</v>
      </c>
      <c r="K289" s="4">
        <v>51</v>
      </c>
      <c r="L289" s="4" t="str" cm="1">
        <f t="array" ref="L289">_xlfn.IFS(K289&gt;=50, "Senior", K289&gt;=30, "Adult", K289&lt;30, "Young Adult")</f>
        <v>Senior</v>
      </c>
      <c r="M289" s="4" t="s">
        <v>10</v>
      </c>
      <c r="N289" s="4">
        <v>2</v>
      </c>
      <c r="O289" s="5">
        <v>30</v>
      </c>
      <c r="P289">
        <f>N289*O289</f>
        <v>60</v>
      </c>
      <c r="Q289">
        <f>(P289*$U$4)</f>
        <v>0.89999999999999991</v>
      </c>
    </row>
    <row r="290" spans="1:17">
      <c r="A290" s="2">
        <v>290</v>
      </c>
      <c r="B290" s="4">
        <f>YEAR(H290)</f>
        <v>2023</v>
      </c>
      <c r="C290" s="4">
        <f>MONTH(H290)</f>
        <v>10</v>
      </c>
      <c r="D290" s="4">
        <f>DAY(H290)</f>
        <v>4</v>
      </c>
      <c r="E290" s="4" t="str">
        <f>TEXT(H290,"dddd")</f>
        <v>Wednesday</v>
      </c>
      <c r="F290" s="4" t="str">
        <f t="shared" si="5"/>
        <v>October</v>
      </c>
      <c r="G290" s="4"/>
      <c r="H290" s="3">
        <v>45203</v>
      </c>
      <c r="I290" s="4" t="s">
        <v>324</v>
      </c>
      <c r="J290" s="4" t="s">
        <v>29</v>
      </c>
      <c r="K290" s="4">
        <v>51</v>
      </c>
      <c r="L290" s="4" t="str" cm="1">
        <f t="array" ref="L290">_xlfn.IFS(K290&gt;=50, "Senior", K290&gt;=30, "Adult", K290&lt;30, "Young Adult")</f>
        <v>Senior</v>
      </c>
      <c r="M290" s="4" t="s">
        <v>3</v>
      </c>
      <c r="N290" s="4">
        <v>2</v>
      </c>
      <c r="O290" s="5">
        <v>300</v>
      </c>
      <c r="P290">
        <f>N290*O290</f>
        <v>600</v>
      </c>
      <c r="Q290">
        <f>(P290*$U$4)</f>
        <v>9</v>
      </c>
    </row>
    <row r="291" spans="1:17">
      <c r="A291" s="2">
        <v>291</v>
      </c>
      <c r="B291" s="4">
        <f>YEAR(H291)</f>
        <v>2023</v>
      </c>
      <c r="C291" s="4">
        <f>MONTH(H291)</f>
        <v>1</v>
      </c>
      <c r="D291" s="4">
        <f>DAY(H291)</f>
        <v>8</v>
      </c>
      <c r="E291" s="4" t="str">
        <f>TEXT(H291,"dddd")</f>
        <v>Sunday</v>
      </c>
      <c r="F291" s="4" t="str">
        <f t="shared" si="5"/>
        <v>January</v>
      </c>
      <c r="G291" s="4"/>
      <c r="H291" s="3">
        <v>44934</v>
      </c>
      <c r="I291" s="4" t="s">
        <v>325</v>
      </c>
      <c r="J291" s="4" t="s">
        <v>27</v>
      </c>
      <c r="K291" s="4">
        <v>51</v>
      </c>
      <c r="L291" s="4" t="str" cm="1">
        <f t="array" ref="L291">_xlfn.IFS(K291&gt;=50, "Senior", K291&gt;=30, "Adult", K291&lt;30, "Young Adult")</f>
        <v>Senior</v>
      </c>
      <c r="M291" s="4" t="s">
        <v>8</v>
      </c>
      <c r="N291" s="4">
        <v>2</v>
      </c>
      <c r="O291" s="5">
        <v>300</v>
      </c>
      <c r="P291">
        <f>N291*O291</f>
        <v>600</v>
      </c>
      <c r="Q291">
        <f>(P291*$U$4)</f>
        <v>9</v>
      </c>
    </row>
    <row r="292" spans="1:17">
      <c r="A292" s="2">
        <v>292</v>
      </c>
      <c r="B292" s="4">
        <f>YEAR(H292)</f>
        <v>2023</v>
      </c>
      <c r="C292" s="4">
        <f>MONTH(H292)</f>
        <v>2</v>
      </c>
      <c r="D292" s="4">
        <f>DAY(H292)</f>
        <v>17</v>
      </c>
      <c r="E292" s="4" t="str">
        <f>TEXT(H292,"dddd")</f>
        <v>Friday</v>
      </c>
      <c r="F292" s="4" t="str">
        <f t="shared" si="5"/>
        <v>February</v>
      </c>
      <c r="G292" s="4"/>
      <c r="H292" s="3">
        <v>44974</v>
      </c>
      <c r="I292" s="4" t="s">
        <v>326</v>
      </c>
      <c r="J292" s="4" t="s">
        <v>27</v>
      </c>
      <c r="K292" s="4">
        <v>51</v>
      </c>
      <c r="L292" s="4" t="str" cm="1">
        <f t="array" ref="L292">_xlfn.IFS(K292&gt;=50, "Senior", K292&gt;=30, "Adult", K292&lt;30, "Young Adult")</f>
        <v>Senior</v>
      </c>
      <c r="M292" s="4" t="s">
        <v>3</v>
      </c>
      <c r="N292" s="4">
        <v>4</v>
      </c>
      <c r="O292" s="5">
        <v>300</v>
      </c>
      <c r="P292">
        <f>N292*O292</f>
        <v>1200</v>
      </c>
      <c r="Q292">
        <f>(P292*$U$4)</f>
        <v>18</v>
      </c>
    </row>
    <row r="293" spans="1:17">
      <c r="A293" s="2">
        <v>293</v>
      </c>
      <c r="B293" s="4">
        <f>YEAR(H293)</f>
        <v>2023</v>
      </c>
      <c r="C293" s="4">
        <f>MONTH(H293)</f>
        <v>5</v>
      </c>
      <c r="D293" s="4">
        <f>DAY(H293)</f>
        <v>2</v>
      </c>
      <c r="E293" s="4" t="str">
        <f>TEXT(H293,"dddd")</f>
        <v>Tuesday</v>
      </c>
      <c r="F293" s="4" t="str">
        <f t="shared" si="5"/>
        <v>May</v>
      </c>
      <c r="G293" s="4"/>
      <c r="H293" s="3">
        <v>45048</v>
      </c>
      <c r="I293" s="4" t="s">
        <v>327</v>
      </c>
      <c r="J293" s="4" t="s">
        <v>27</v>
      </c>
      <c r="K293" s="4">
        <v>51</v>
      </c>
      <c r="L293" s="4" t="str" cm="1">
        <f t="array" ref="L293">_xlfn.IFS(K293&gt;=50, "Senior", K293&gt;=30, "Adult", K293&lt;30, "Young Adult")</f>
        <v>Senior</v>
      </c>
      <c r="M293" s="4" t="s">
        <v>10</v>
      </c>
      <c r="N293" s="4">
        <v>3</v>
      </c>
      <c r="O293" s="5">
        <v>30</v>
      </c>
      <c r="P293">
        <f>N293*O293</f>
        <v>90</v>
      </c>
      <c r="Q293">
        <f>(P293*$U$4)</f>
        <v>1.3499999999999999</v>
      </c>
    </row>
    <row r="294" spans="1:17">
      <c r="A294" s="2">
        <v>294</v>
      </c>
      <c r="B294" s="4">
        <f>YEAR(H294)</f>
        <v>2023</v>
      </c>
      <c r="C294" s="4">
        <f>MONTH(H294)</f>
        <v>3</v>
      </c>
      <c r="D294" s="4">
        <f>DAY(H294)</f>
        <v>27</v>
      </c>
      <c r="E294" s="4" t="str">
        <f>TEXT(H294,"dddd")</f>
        <v>Monday</v>
      </c>
      <c r="F294" s="4" t="str">
        <f t="shared" si="5"/>
        <v>March</v>
      </c>
      <c r="G294" s="4"/>
      <c r="H294" s="3">
        <v>45012</v>
      </c>
      <c r="I294" s="4" t="s">
        <v>328</v>
      </c>
      <c r="J294" s="4" t="s">
        <v>29</v>
      </c>
      <c r="K294" s="4">
        <v>51</v>
      </c>
      <c r="L294" s="4" t="str" cm="1">
        <f t="array" ref="L294">_xlfn.IFS(K294&gt;=50, "Senior", K294&gt;=30, "Adult", K294&lt;30, "Young Adult")</f>
        <v>Senior</v>
      </c>
      <c r="M294" s="4" t="s">
        <v>8</v>
      </c>
      <c r="N294" s="4">
        <v>3</v>
      </c>
      <c r="O294" s="5">
        <v>30</v>
      </c>
      <c r="P294">
        <f>N294*O294</f>
        <v>90</v>
      </c>
      <c r="Q294">
        <f>(P294*$U$4)</f>
        <v>1.3499999999999999</v>
      </c>
    </row>
    <row r="295" spans="1:17">
      <c r="A295" s="2">
        <v>295</v>
      </c>
      <c r="B295" s="4">
        <f>YEAR(H295)</f>
        <v>2023</v>
      </c>
      <c r="C295" s="4">
        <f>MONTH(H295)</f>
        <v>7</v>
      </c>
      <c r="D295" s="4">
        <f>DAY(H295)</f>
        <v>28</v>
      </c>
      <c r="E295" s="4" t="str">
        <f>TEXT(H295,"dddd")</f>
        <v>Friday</v>
      </c>
      <c r="F295" s="4" t="str">
        <f t="shared" si="5"/>
        <v>July</v>
      </c>
      <c r="G295" s="4"/>
      <c r="H295" s="3">
        <v>45135</v>
      </c>
      <c r="I295" s="4" t="s">
        <v>329</v>
      </c>
      <c r="J295" s="4" t="s">
        <v>29</v>
      </c>
      <c r="K295" s="4">
        <v>51</v>
      </c>
      <c r="L295" s="4" t="str" cm="1">
        <f t="array" ref="L295">_xlfn.IFS(K295&gt;=50, "Senior", K295&gt;=30, "Adult", K295&lt;30, "Young Adult")</f>
        <v>Senior</v>
      </c>
      <c r="M295" s="4" t="s">
        <v>3</v>
      </c>
      <c r="N295" s="4">
        <v>3</v>
      </c>
      <c r="O295" s="5">
        <v>300</v>
      </c>
      <c r="P295">
        <f>N295*O295</f>
        <v>900</v>
      </c>
      <c r="Q295">
        <f>(P295*$U$4)</f>
        <v>13.5</v>
      </c>
    </row>
    <row r="296" spans="1:17">
      <c r="A296" s="2">
        <v>296</v>
      </c>
      <c r="B296" s="4">
        <f>YEAR(H296)</f>
        <v>2023</v>
      </c>
      <c r="C296" s="4">
        <f>MONTH(H296)</f>
        <v>9</v>
      </c>
      <c r="D296" s="4">
        <f>DAY(H296)</f>
        <v>6</v>
      </c>
      <c r="E296" s="4" t="str">
        <f>TEXT(H296,"dddd")</f>
        <v>Wednesday</v>
      </c>
      <c r="F296" s="4" t="str">
        <f t="shared" si="5"/>
        <v>September</v>
      </c>
      <c r="G296" s="4"/>
      <c r="H296" s="3">
        <v>45175</v>
      </c>
      <c r="I296" s="4" t="s">
        <v>330</v>
      </c>
      <c r="J296" s="4" t="s">
        <v>29</v>
      </c>
      <c r="K296" s="4">
        <v>51</v>
      </c>
      <c r="L296" s="4" t="str" cm="1">
        <f t="array" ref="L296">_xlfn.IFS(K296&gt;=50, "Senior", K296&gt;=30, "Adult", K296&lt;30, "Young Adult")</f>
        <v>Senior</v>
      </c>
      <c r="M296" s="4" t="s">
        <v>8</v>
      </c>
      <c r="N296" s="4">
        <v>4</v>
      </c>
      <c r="O296" s="5">
        <v>300</v>
      </c>
      <c r="P296">
        <f>N296*O296</f>
        <v>1200</v>
      </c>
      <c r="Q296">
        <f>(P296*$U$4)</f>
        <v>18</v>
      </c>
    </row>
    <row r="297" spans="1:17">
      <c r="A297" s="2">
        <v>297</v>
      </c>
      <c r="B297" s="4">
        <f>YEAR(H297)</f>
        <v>2023</v>
      </c>
      <c r="C297" s="4">
        <f>MONTH(H297)</f>
        <v>9</v>
      </c>
      <c r="D297" s="4">
        <f>DAY(H297)</f>
        <v>4</v>
      </c>
      <c r="E297" s="4" t="str">
        <f>TEXT(H297,"dddd")</f>
        <v>Monday</v>
      </c>
      <c r="F297" s="4" t="str">
        <f t="shared" si="5"/>
        <v>September</v>
      </c>
      <c r="G297" s="4"/>
      <c r="H297" s="3">
        <v>45173</v>
      </c>
      <c r="I297" s="4" t="s">
        <v>331</v>
      </c>
      <c r="J297" s="4" t="s">
        <v>29</v>
      </c>
      <c r="K297" s="4">
        <v>51</v>
      </c>
      <c r="L297" s="4" t="str" cm="1">
        <f t="array" ref="L297">_xlfn.IFS(K297&gt;=50, "Senior", K297&gt;=30, "Adult", K297&lt;30, "Young Adult")</f>
        <v>Senior</v>
      </c>
      <c r="M297" s="4" t="s">
        <v>10</v>
      </c>
      <c r="N297" s="4">
        <v>2</v>
      </c>
      <c r="O297" s="5">
        <v>500</v>
      </c>
      <c r="P297">
        <f>N297*O297</f>
        <v>1000</v>
      </c>
      <c r="Q297">
        <f>(P297*$U$4)</f>
        <v>15</v>
      </c>
    </row>
    <row r="298" spans="1:17">
      <c r="A298" s="2">
        <v>298</v>
      </c>
      <c r="B298" s="4">
        <f>YEAR(H298)</f>
        <v>2023</v>
      </c>
      <c r="C298" s="4">
        <f>MONTH(H298)</f>
        <v>4</v>
      </c>
      <c r="D298" s="4">
        <f>DAY(H298)</f>
        <v>20</v>
      </c>
      <c r="E298" s="4" t="str">
        <f>TEXT(H298,"dddd")</f>
        <v>Thursday</v>
      </c>
      <c r="F298" s="4" t="str">
        <f t="shared" si="5"/>
        <v>April</v>
      </c>
      <c r="G298" s="4"/>
      <c r="H298" s="3">
        <v>45036</v>
      </c>
      <c r="I298" s="4" t="s">
        <v>332</v>
      </c>
      <c r="J298" s="4" t="s">
        <v>27</v>
      </c>
      <c r="K298" s="4">
        <v>51</v>
      </c>
      <c r="L298" s="4" t="str" cm="1">
        <f t="array" ref="L298">_xlfn.IFS(K298&gt;=50, "Senior", K298&gt;=30, "Adult", K298&lt;30, "Young Adult")</f>
        <v>Senior</v>
      </c>
      <c r="M298" s="4" t="s">
        <v>3</v>
      </c>
      <c r="N298" s="4">
        <v>4</v>
      </c>
      <c r="O298" s="5">
        <v>300</v>
      </c>
      <c r="P298">
        <f>N298*O298</f>
        <v>1200</v>
      </c>
      <c r="Q298">
        <f>(P298*$U$4)</f>
        <v>18</v>
      </c>
    </row>
    <row r="299" spans="1:17">
      <c r="A299" s="2">
        <v>299</v>
      </c>
      <c r="B299" s="4">
        <f>YEAR(H299)</f>
        <v>2023</v>
      </c>
      <c r="C299" s="4">
        <f>MONTH(H299)</f>
        <v>7</v>
      </c>
      <c r="D299" s="4">
        <f>DAY(H299)</f>
        <v>25</v>
      </c>
      <c r="E299" s="4" t="str">
        <f>TEXT(H299,"dddd")</f>
        <v>Tuesday</v>
      </c>
      <c r="F299" s="4" t="str">
        <f t="shared" si="5"/>
        <v>July</v>
      </c>
      <c r="G299" s="4"/>
      <c r="H299" s="3">
        <v>45132</v>
      </c>
      <c r="I299" s="4" t="s">
        <v>333</v>
      </c>
      <c r="J299" s="4" t="s">
        <v>27</v>
      </c>
      <c r="K299" s="4">
        <v>51</v>
      </c>
      <c r="L299" s="4" t="str" cm="1">
        <f t="array" ref="L299">_xlfn.IFS(K299&gt;=50, "Senior", K299&gt;=30, "Adult", K299&lt;30, "Young Adult")</f>
        <v>Senior</v>
      </c>
      <c r="M299" s="4" t="s">
        <v>10</v>
      </c>
      <c r="N299" s="4">
        <v>2</v>
      </c>
      <c r="O299" s="5">
        <v>500</v>
      </c>
      <c r="P299">
        <f>N299*O299</f>
        <v>1000</v>
      </c>
      <c r="Q299">
        <f>(P299*$U$4)</f>
        <v>15</v>
      </c>
    </row>
    <row r="300" spans="1:17">
      <c r="A300" s="2">
        <v>300</v>
      </c>
      <c r="B300" s="4">
        <f>YEAR(H300)</f>
        <v>2023</v>
      </c>
      <c r="C300" s="4">
        <f>MONTH(H300)</f>
        <v>1</v>
      </c>
      <c r="D300" s="4">
        <f>DAY(H300)</f>
        <v>31</v>
      </c>
      <c r="E300" s="4" t="str">
        <f>TEXT(H300,"dddd")</f>
        <v>Tuesday</v>
      </c>
      <c r="F300" s="4" t="str">
        <f t="shared" si="5"/>
        <v>January</v>
      </c>
      <c r="G300" s="4"/>
      <c r="H300" s="3">
        <v>44957</v>
      </c>
      <c r="I300" s="4" t="s">
        <v>334</v>
      </c>
      <c r="J300" s="4" t="s">
        <v>29</v>
      </c>
      <c r="K300" s="4">
        <v>51</v>
      </c>
      <c r="L300" s="4" t="str" cm="1">
        <f t="array" ref="L300">_xlfn.IFS(K300&gt;=50, "Senior", K300&gt;=30, "Adult", K300&lt;30, "Young Adult")</f>
        <v>Senior</v>
      </c>
      <c r="M300" s="4" t="s">
        <v>10</v>
      </c>
      <c r="N300" s="4">
        <v>4</v>
      </c>
      <c r="O300" s="5">
        <v>50</v>
      </c>
      <c r="P300">
        <f>N300*O300</f>
        <v>200</v>
      </c>
      <c r="Q300">
        <f>(P300*$U$4)</f>
        <v>3</v>
      </c>
    </row>
    <row r="301" spans="1:17">
      <c r="A301" s="2">
        <v>301</v>
      </c>
      <c r="B301" s="4">
        <f>YEAR(H301)</f>
        <v>2023</v>
      </c>
      <c r="C301" s="4">
        <f>MONTH(H301)</f>
        <v>3</v>
      </c>
      <c r="D301" s="4">
        <f>DAY(H301)</f>
        <v>26</v>
      </c>
      <c r="E301" s="4" t="str">
        <f>TEXT(H301,"dddd")</f>
        <v>Sunday</v>
      </c>
      <c r="F301" s="4" t="str">
        <f t="shared" si="5"/>
        <v>March</v>
      </c>
      <c r="G301" s="4"/>
      <c r="H301" s="3">
        <v>45011</v>
      </c>
      <c r="I301" s="4" t="s">
        <v>335</v>
      </c>
      <c r="J301" s="4" t="s">
        <v>27</v>
      </c>
      <c r="K301" s="4">
        <v>51</v>
      </c>
      <c r="L301" s="4" t="str" cm="1">
        <f t="array" ref="L301">_xlfn.IFS(K301&gt;=50, "Senior", K301&gt;=30, "Adult", K301&lt;30, "Young Adult")</f>
        <v>Senior</v>
      </c>
      <c r="M301" s="4" t="s">
        <v>8</v>
      </c>
      <c r="N301" s="4">
        <v>4</v>
      </c>
      <c r="O301" s="5">
        <v>30</v>
      </c>
      <c r="P301">
        <f>N301*O301</f>
        <v>120</v>
      </c>
      <c r="Q301">
        <f>(P301*$U$4)</f>
        <v>1.7999999999999998</v>
      </c>
    </row>
    <row r="302" spans="1:17">
      <c r="A302" s="2">
        <v>302</v>
      </c>
      <c r="B302" s="4">
        <f>YEAR(H302)</f>
        <v>2023</v>
      </c>
      <c r="C302" s="4">
        <f>MONTH(H302)</f>
        <v>7</v>
      </c>
      <c r="D302" s="4">
        <f>DAY(H302)</f>
        <v>14</v>
      </c>
      <c r="E302" s="4" t="str">
        <f>TEXT(H302,"dddd")</f>
        <v>Friday</v>
      </c>
      <c r="F302" s="4" t="str">
        <f t="shared" si="5"/>
        <v>July</v>
      </c>
      <c r="G302" s="4"/>
      <c r="H302" s="3">
        <v>45121</v>
      </c>
      <c r="I302" s="4" t="s">
        <v>336</v>
      </c>
      <c r="J302" s="4" t="s">
        <v>27</v>
      </c>
      <c r="K302" s="4">
        <v>51</v>
      </c>
      <c r="L302" s="4" t="str" cm="1">
        <f t="array" ref="L302">_xlfn.IFS(K302&gt;=50, "Senior", K302&gt;=30, "Adult", K302&lt;30, "Young Adult")</f>
        <v>Senior</v>
      </c>
      <c r="M302" s="4" t="s">
        <v>3</v>
      </c>
      <c r="N302" s="4">
        <v>2</v>
      </c>
      <c r="O302" s="5">
        <v>300</v>
      </c>
      <c r="P302">
        <f>N302*O302</f>
        <v>600</v>
      </c>
      <c r="Q302">
        <f>(P302*$U$4)</f>
        <v>9</v>
      </c>
    </row>
    <row r="303" spans="1:17">
      <c r="A303" s="2">
        <v>303</v>
      </c>
      <c r="B303" s="4">
        <f>YEAR(H303)</f>
        <v>2023</v>
      </c>
      <c r="C303" s="4">
        <f>MONTH(H303)</f>
        <v>1</v>
      </c>
      <c r="D303" s="4">
        <f>DAY(H303)</f>
        <v>2</v>
      </c>
      <c r="E303" s="4" t="str">
        <f>TEXT(H303,"dddd")</f>
        <v>Monday</v>
      </c>
      <c r="F303" s="4" t="str">
        <f t="shared" si="5"/>
        <v>January</v>
      </c>
      <c r="G303" s="4"/>
      <c r="H303" s="3">
        <v>44928</v>
      </c>
      <c r="I303" s="4" t="s">
        <v>337</v>
      </c>
      <c r="J303" s="4" t="s">
        <v>27</v>
      </c>
      <c r="K303" s="4">
        <v>51</v>
      </c>
      <c r="L303" s="4" t="str" cm="1">
        <f t="array" ref="L303">_xlfn.IFS(K303&gt;=50, "Senior", K303&gt;=30, "Adult", K303&lt;30, "Young Adult")</f>
        <v>Senior</v>
      </c>
      <c r="M303" s="4" t="s">
        <v>10</v>
      </c>
      <c r="N303" s="4">
        <v>3</v>
      </c>
      <c r="O303" s="5">
        <v>30</v>
      </c>
      <c r="P303">
        <f>N303*O303</f>
        <v>90</v>
      </c>
      <c r="Q303">
        <f>(P303*$U$4)</f>
        <v>1.3499999999999999</v>
      </c>
    </row>
    <row r="304" spans="1:17">
      <c r="A304" s="2">
        <v>304</v>
      </c>
      <c r="B304" s="4">
        <f>YEAR(H304)</f>
        <v>2023</v>
      </c>
      <c r="C304" s="4">
        <f>MONTH(H304)</f>
        <v>7</v>
      </c>
      <c r="D304" s="4">
        <f>DAY(H304)</f>
        <v>19</v>
      </c>
      <c r="E304" s="4" t="str">
        <f>TEXT(H304,"dddd")</f>
        <v>Wednesday</v>
      </c>
      <c r="F304" s="4" t="str">
        <f t="shared" si="5"/>
        <v>July</v>
      </c>
      <c r="G304" s="4"/>
      <c r="H304" s="3">
        <v>45126</v>
      </c>
      <c r="I304" s="4" t="s">
        <v>338</v>
      </c>
      <c r="J304" s="4" t="s">
        <v>29</v>
      </c>
      <c r="K304" s="4">
        <v>51</v>
      </c>
      <c r="L304" s="4" t="str" cm="1">
        <f t="array" ref="L304">_xlfn.IFS(K304&gt;=50, "Senior", K304&gt;=30, "Adult", K304&lt;30, "Young Adult")</f>
        <v>Senior</v>
      </c>
      <c r="M304" s="4" t="s">
        <v>10</v>
      </c>
      <c r="N304" s="4">
        <v>2</v>
      </c>
      <c r="O304" s="5">
        <v>30</v>
      </c>
      <c r="P304">
        <f>N304*O304</f>
        <v>60</v>
      </c>
      <c r="Q304">
        <f>(P304*$U$4)</f>
        <v>0.89999999999999991</v>
      </c>
    </row>
    <row r="305" spans="1:17">
      <c r="A305" s="2">
        <v>305</v>
      </c>
      <c r="B305" s="4">
        <f>YEAR(H305)</f>
        <v>2023</v>
      </c>
      <c r="C305" s="4">
        <f>MONTH(H305)</f>
        <v>5</v>
      </c>
      <c r="D305" s="4">
        <f>DAY(H305)</f>
        <v>16</v>
      </c>
      <c r="E305" s="4" t="str">
        <f>TEXT(H305,"dddd")</f>
        <v>Tuesday</v>
      </c>
      <c r="F305" s="4" t="str">
        <f t="shared" si="5"/>
        <v>May</v>
      </c>
      <c r="G305" s="4"/>
      <c r="H305" s="3">
        <v>45062</v>
      </c>
      <c r="I305" s="4" t="s">
        <v>339</v>
      </c>
      <c r="J305" s="4" t="s">
        <v>29</v>
      </c>
      <c r="K305" s="4">
        <v>51</v>
      </c>
      <c r="L305" s="4" t="str" cm="1">
        <f t="array" ref="L305">_xlfn.IFS(K305&gt;=50, "Senior", K305&gt;=30, "Adult", K305&lt;30, "Young Adult")</f>
        <v>Senior</v>
      </c>
      <c r="M305" s="4" t="s">
        <v>3</v>
      </c>
      <c r="N305" s="4">
        <v>1</v>
      </c>
      <c r="O305" s="5">
        <v>30</v>
      </c>
      <c r="P305">
        <f>N305*O305</f>
        <v>30</v>
      </c>
      <c r="Q305">
        <f>(P305*$U$4)</f>
        <v>0.44999999999999996</v>
      </c>
    </row>
    <row r="306" spans="1:17">
      <c r="A306" s="2">
        <v>306</v>
      </c>
      <c r="B306" s="4">
        <f>YEAR(H306)</f>
        <v>2023</v>
      </c>
      <c r="C306" s="4">
        <f>MONTH(H306)</f>
        <v>8</v>
      </c>
      <c r="D306" s="4">
        <f>DAY(H306)</f>
        <v>21</v>
      </c>
      <c r="E306" s="4" t="str">
        <f>TEXT(H306,"dddd")</f>
        <v>Monday</v>
      </c>
      <c r="F306" s="4" t="str">
        <f t="shared" si="5"/>
        <v>August</v>
      </c>
      <c r="G306" s="4"/>
      <c r="H306" s="3">
        <v>45159</v>
      </c>
      <c r="I306" s="4" t="s">
        <v>340</v>
      </c>
      <c r="J306" s="4" t="s">
        <v>27</v>
      </c>
      <c r="K306" s="4">
        <v>51</v>
      </c>
      <c r="L306" s="4" t="str" cm="1">
        <f t="array" ref="L306">_xlfn.IFS(K306&gt;=50, "Senior", K306&gt;=30, "Adult", K306&lt;30, "Young Adult")</f>
        <v>Senior</v>
      </c>
      <c r="M306" s="4" t="s">
        <v>10</v>
      </c>
      <c r="N306" s="4">
        <v>1</v>
      </c>
      <c r="O306" s="5">
        <v>50</v>
      </c>
      <c r="P306">
        <f>N306*O306</f>
        <v>50</v>
      </c>
      <c r="Q306">
        <f>(P306*$U$4)</f>
        <v>0.75</v>
      </c>
    </row>
    <row r="307" spans="1:17">
      <c r="A307" s="2">
        <v>307</v>
      </c>
      <c r="B307" s="4">
        <f>YEAR(H307)</f>
        <v>2023</v>
      </c>
      <c r="C307" s="4">
        <f>MONTH(H307)</f>
        <v>5</v>
      </c>
      <c r="D307" s="4">
        <f>DAY(H307)</f>
        <v>27</v>
      </c>
      <c r="E307" s="4" t="str">
        <f>TEXT(H307,"dddd")</f>
        <v>Saturday</v>
      </c>
      <c r="F307" s="4" t="str">
        <f t="shared" si="5"/>
        <v>May</v>
      </c>
      <c r="G307" s="4"/>
      <c r="H307" s="3">
        <v>45073</v>
      </c>
      <c r="I307" s="4" t="s">
        <v>341</v>
      </c>
      <c r="J307" s="4" t="s">
        <v>29</v>
      </c>
      <c r="K307" s="4">
        <v>51</v>
      </c>
      <c r="L307" s="4" t="str" cm="1">
        <f t="array" ref="L307">_xlfn.IFS(K307&gt;=50, "Senior", K307&gt;=30, "Adult", K307&lt;30, "Young Adult")</f>
        <v>Senior</v>
      </c>
      <c r="M307" s="4" t="s">
        <v>10</v>
      </c>
      <c r="N307" s="4">
        <v>2</v>
      </c>
      <c r="O307" s="5">
        <v>25</v>
      </c>
      <c r="P307">
        <f>N307*O307</f>
        <v>50</v>
      </c>
      <c r="Q307">
        <f>(P307*$U$4)</f>
        <v>0.75</v>
      </c>
    </row>
    <row r="308" spans="1:17">
      <c r="A308" s="2">
        <v>308</v>
      </c>
      <c r="B308" s="4">
        <f>YEAR(H308)</f>
        <v>2023</v>
      </c>
      <c r="C308" s="4">
        <f>MONTH(H308)</f>
        <v>8</v>
      </c>
      <c r="D308" s="4">
        <f>DAY(H308)</f>
        <v>5</v>
      </c>
      <c r="E308" s="4" t="str">
        <f>TEXT(H308,"dddd")</f>
        <v>Saturday</v>
      </c>
      <c r="F308" s="4" t="str">
        <f t="shared" si="5"/>
        <v>August</v>
      </c>
      <c r="G308" s="4"/>
      <c r="H308" s="3">
        <v>45143</v>
      </c>
      <c r="I308" s="4" t="s">
        <v>342</v>
      </c>
      <c r="J308" s="4" t="s">
        <v>29</v>
      </c>
      <c r="K308" s="4">
        <v>51</v>
      </c>
      <c r="L308" s="4" t="str" cm="1">
        <f t="array" ref="L308">_xlfn.IFS(K308&gt;=50, "Senior", K308&gt;=30, "Adult", K308&lt;30, "Young Adult")</f>
        <v>Senior</v>
      </c>
      <c r="M308" s="4" t="s">
        <v>3</v>
      </c>
      <c r="N308" s="4">
        <v>4</v>
      </c>
      <c r="O308" s="5">
        <v>300</v>
      </c>
      <c r="P308">
        <f>N308*O308</f>
        <v>1200</v>
      </c>
      <c r="Q308">
        <f>(P308*$U$4)</f>
        <v>18</v>
      </c>
    </row>
    <row r="309" spans="1:17">
      <c r="A309" s="2">
        <v>309</v>
      </c>
      <c r="B309" s="4">
        <f>YEAR(H309)</f>
        <v>2023</v>
      </c>
      <c r="C309" s="4">
        <f>MONTH(H309)</f>
        <v>12</v>
      </c>
      <c r="D309" s="4">
        <f>DAY(H309)</f>
        <v>23</v>
      </c>
      <c r="E309" s="4" t="str">
        <f>TEXT(H309,"dddd")</f>
        <v>Saturday</v>
      </c>
      <c r="F309" s="4" t="str">
        <f t="shared" si="5"/>
        <v>December</v>
      </c>
      <c r="G309" s="4"/>
      <c r="H309" s="3">
        <v>45283</v>
      </c>
      <c r="I309" s="4" t="s">
        <v>343</v>
      </c>
      <c r="J309" s="4" t="s">
        <v>29</v>
      </c>
      <c r="K309" s="4">
        <v>51</v>
      </c>
      <c r="L309" s="4" t="str" cm="1">
        <f t="array" ref="L309">_xlfn.IFS(K309&gt;=50, "Senior", K309&gt;=30, "Adult", K309&lt;30, "Young Adult")</f>
        <v>Senior</v>
      </c>
      <c r="M309" s="4" t="s">
        <v>3</v>
      </c>
      <c r="N309" s="4">
        <v>1</v>
      </c>
      <c r="O309" s="5">
        <v>25</v>
      </c>
      <c r="P309">
        <f>N309*O309</f>
        <v>25</v>
      </c>
      <c r="Q309">
        <f>(P309*$U$4)</f>
        <v>0.375</v>
      </c>
    </row>
    <row r="310" spans="1:17">
      <c r="A310" s="2">
        <v>310</v>
      </c>
      <c r="B310" s="4">
        <f>YEAR(H310)</f>
        <v>2023</v>
      </c>
      <c r="C310" s="4">
        <f>MONTH(H310)</f>
        <v>10</v>
      </c>
      <c r="D310" s="4">
        <f>DAY(H310)</f>
        <v>12</v>
      </c>
      <c r="E310" s="4" t="str">
        <f>TEXT(H310,"dddd")</f>
        <v>Thursday</v>
      </c>
      <c r="F310" s="4" t="str">
        <f t="shared" si="5"/>
        <v>October</v>
      </c>
      <c r="G310" s="4"/>
      <c r="H310" s="3">
        <v>45211</v>
      </c>
      <c r="I310" s="4" t="s">
        <v>344</v>
      </c>
      <c r="J310" s="4" t="s">
        <v>29</v>
      </c>
      <c r="K310" s="4">
        <v>51</v>
      </c>
      <c r="L310" s="4" t="str" cm="1">
        <f t="array" ref="L310">_xlfn.IFS(K310&gt;=50, "Senior", K310&gt;=30, "Adult", K310&lt;30, "Young Adult")</f>
        <v>Senior</v>
      </c>
      <c r="M310" s="4" t="s">
        <v>3</v>
      </c>
      <c r="N310" s="4">
        <v>1</v>
      </c>
      <c r="O310" s="5">
        <v>25</v>
      </c>
      <c r="P310">
        <f>N310*O310</f>
        <v>25</v>
      </c>
      <c r="Q310">
        <f>(P310*$U$4)</f>
        <v>0.375</v>
      </c>
    </row>
    <row r="311" spans="1:17">
      <c r="A311" s="2">
        <v>311</v>
      </c>
      <c r="B311" s="4">
        <f>YEAR(H311)</f>
        <v>2023</v>
      </c>
      <c r="C311" s="4">
        <f>MONTH(H311)</f>
        <v>12</v>
      </c>
      <c r="D311" s="4">
        <f>DAY(H311)</f>
        <v>5</v>
      </c>
      <c r="E311" s="4" t="str">
        <f>TEXT(H311,"dddd")</f>
        <v>Tuesday</v>
      </c>
      <c r="F311" s="4" t="str">
        <f t="shared" si="5"/>
        <v>December</v>
      </c>
      <c r="G311" s="4"/>
      <c r="H311" s="3">
        <v>45265</v>
      </c>
      <c r="I311" s="4" t="s">
        <v>345</v>
      </c>
      <c r="J311" s="4" t="s">
        <v>29</v>
      </c>
      <c r="K311" s="4">
        <v>51</v>
      </c>
      <c r="L311" s="4" t="str" cm="1">
        <f t="array" ref="L311">_xlfn.IFS(K311&gt;=50, "Senior", K311&gt;=30, "Adult", K311&lt;30, "Young Adult")</f>
        <v>Senior</v>
      </c>
      <c r="M311" s="4" t="s">
        <v>3</v>
      </c>
      <c r="N311" s="4">
        <v>4</v>
      </c>
      <c r="O311" s="5">
        <v>25</v>
      </c>
      <c r="P311">
        <f>N311*O311</f>
        <v>100</v>
      </c>
      <c r="Q311">
        <f>(P311*$U$4)</f>
        <v>1.5</v>
      </c>
    </row>
    <row r="312" spans="1:17">
      <c r="A312" s="2">
        <v>312</v>
      </c>
      <c r="B312" s="4">
        <f>YEAR(H312)</f>
        <v>2023</v>
      </c>
      <c r="C312" s="4">
        <f>MONTH(H312)</f>
        <v>9</v>
      </c>
      <c r="D312" s="4">
        <f>DAY(H312)</f>
        <v>7</v>
      </c>
      <c r="E312" s="4" t="str">
        <f>TEXT(H312,"dddd")</f>
        <v>Thursday</v>
      </c>
      <c r="F312" s="4" t="str">
        <f t="shared" si="5"/>
        <v>September</v>
      </c>
      <c r="G312" s="4"/>
      <c r="H312" s="3">
        <v>45176</v>
      </c>
      <c r="I312" s="4" t="s">
        <v>346</v>
      </c>
      <c r="J312" s="4" t="s">
        <v>27</v>
      </c>
      <c r="K312" s="4">
        <v>51</v>
      </c>
      <c r="L312" s="4" t="str" cm="1">
        <f t="array" ref="L312">_xlfn.IFS(K312&gt;=50, "Senior", K312&gt;=30, "Adult", K312&lt;30, "Young Adult")</f>
        <v>Senior</v>
      </c>
      <c r="M312" s="4" t="s">
        <v>8</v>
      </c>
      <c r="N312" s="4">
        <v>4</v>
      </c>
      <c r="O312" s="5">
        <v>30</v>
      </c>
      <c r="P312">
        <f>N312*O312</f>
        <v>120</v>
      </c>
      <c r="Q312">
        <f>(P312*$U$4)</f>
        <v>1.7999999999999998</v>
      </c>
    </row>
    <row r="313" spans="1:17">
      <c r="A313" s="2">
        <v>313</v>
      </c>
      <c r="B313" s="4">
        <f>YEAR(H313)</f>
        <v>2023</v>
      </c>
      <c r="C313" s="4">
        <f>MONTH(H313)</f>
        <v>3</v>
      </c>
      <c r="D313" s="4">
        <f>DAY(H313)</f>
        <v>21</v>
      </c>
      <c r="E313" s="4" t="str">
        <f>TEXT(H313,"dddd")</f>
        <v>Tuesday</v>
      </c>
      <c r="F313" s="4" t="str">
        <f t="shared" si="5"/>
        <v>March</v>
      </c>
      <c r="G313" s="4"/>
      <c r="H313" s="3">
        <v>45006</v>
      </c>
      <c r="I313" s="4" t="s">
        <v>347</v>
      </c>
      <c r="J313" s="4" t="s">
        <v>29</v>
      </c>
      <c r="K313" s="4">
        <v>51</v>
      </c>
      <c r="L313" s="4" t="str" cm="1">
        <f t="array" ref="L313">_xlfn.IFS(K313&gt;=50, "Senior", K313&gt;=30, "Adult", K313&lt;30, "Young Adult")</f>
        <v>Senior</v>
      </c>
      <c r="M313" s="4" t="s">
        <v>3</v>
      </c>
      <c r="N313" s="4">
        <v>3</v>
      </c>
      <c r="O313" s="5">
        <v>500</v>
      </c>
      <c r="P313">
        <f>N313*O313</f>
        <v>1500</v>
      </c>
      <c r="Q313">
        <f>(P313*$U$4)</f>
        <v>22.5</v>
      </c>
    </row>
    <row r="314" spans="1:17">
      <c r="A314" s="2">
        <v>314</v>
      </c>
      <c r="B314" s="4">
        <f>YEAR(H314)</f>
        <v>2023</v>
      </c>
      <c r="C314" s="4">
        <f>MONTH(H314)</f>
        <v>4</v>
      </c>
      <c r="D314" s="4">
        <f>DAY(H314)</f>
        <v>8</v>
      </c>
      <c r="E314" s="4" t="str">
        <f>TEXT(H314,"dddd")</f>
        <v>Saturday</v>
      </c>
      <c r="F314" s="4" t="str">
        <f t="shared" si="5"/>
        <v>April</v>
      </c>
      <c r="G314" s="4"/>
      <c r="H314" s="3">
        <v>45024</v>
      </c>
      <c r="I314" s="4" t="s">
        <v>348</v>
      </c>
      <c r="J314" s="4" t="s">
        <v>27</v>
      </c>
      <c r="K314" s="4">
        <v>50</v>
      </c>
      <c r="L314" s="4" t="str" cm="1">
        <f t="array" ref="L314">_xlfn.IFS(K314&gt;=50, "Senior", K314&gt;=30, "Adult", K314&lt;30, "Young Adult")</f>
        <v>Senior</v>
      </c>
      <c r="M314" s="4" t="s">
        <v>8</v>
      </c>
      <c r="N314" s="4">
        <v>4</v>
      </c>
      <c r="O314" s="5">
        <v>30</v>
      </c>
      <c r="P314">
        <f>N314*O314</f>
        <v>120</v>
      </c>
      <c r="Q314">
        <f>(P314*$U$4)</f>
        <v>1.7999999999999998</v>
      </c>
    </row>
    <row r="315" spans="1:17">
      <c r="A315" s="2">
        <v>315</v>
      </c>
      <c r="B315" s="4">
        <f>YEAR(H315)</f>
        <v>2023</v>
      </c>
      <c r="C315" s="4">
        <f>MONTH(H315)</f>
        <v>6</v>
      </c>
      <c r="D315" s="4">
        <f>DAY(H315)</f>
        <v>1</v>
      </c>
      <c r="E315" s="4" t="str">
        <f>TEXT(H315,"dddd")</f>
        <v>Thursday</v>
      </c>
      <c r="F315" s="4" t="str">
        <f t="shared" si="5"/>
        <v>June</v>
      </c>
      <c r="G315" s="4"/>
      <c r="H315" s="3">
        <v>45078</v>
      </c>
      <c r="I315" s="4" t="s">
        <v>349</v>
      </c>
      <c r="J315" s="4" t="s">
        <v>27</v>
      </c>
      <c r="K315" s="4">
        <v>50</v>
      </c>
      <c r="L315" s="4" t="str" cm="1">
        <f t="array" ref="L315">_xlfn.IFS(K315&gt;=50, "Senior", K315&gt;=30, "Adult", K315&lt;30, "Young Adult")</f>
        <v>Senior</v>
      </c>
      <c r="M315" s="4" t="s">
        <v>8</v>
      </c>
      <c r="N315" s="4">
        <v>2</v>
      </c>
      <c r="O315" s="5">
        <v>30</v>
      </c>
      <c r="P315">
        <f>N315*O315</f>
        <v>60</v>
      </c>
      <c r="Q315">
        <f>(P315*$U$4)</f>
        <v>0.89999999999999991</v>
      </c>
    </row>
    <row r="316" spans="1:17">
      <c r="A316" s="2">
        <v>316</v>
      </c>
      <c r="B316" s="4">
        <f>YEAR(H316)</f>
        <v>2023</v>
      </c>
      <c r="C316" s="4">
        <f>MONTH(H316)</f>
        <v>4</v>
      </c>
      <c r="D316" s="4">
        <f>DAY(H316)</f>
        <v>22</v>
      </c>
      <c r="E316" s="4" t="str">
        <f>TEXT(H316,"dddd")</f>
        <v>Saturday</v>
      </c>
      <c r="F316" s="4" t="str">
        <f t="shared" si="5"/>
        <v>April</v>
      </c>
      <c r="G316" s="4"/>
      <c r="H316" s="3">
        <v>45038</v>
      </c>
      <c r="I316" s="4" t="s">
        <v>350</v>
      </c>
      <c r="J316" s="4" t="s">
        <v>29</v>
      </c>
      <c r="K316" s="4">
        <v>50</v>
      </c>
      <c r="L316" s="4" t="str" cm="1">
        <f t="array" ref="L316">_xlfn.IFS(K316&gt;=50, "Senior", K316&gt;=30, "Adult", K316&lt;30, "Young Adult")</f>
        <v>Senior</v>
      </c>
      <c r="M316" s="4" t="s">
        <v>8</v>
      </c>
      <c r="N316" s="4">
        <v>2</v>
      </c>
      <c r="O316" s="5">
        <v>25</v>
      </c>
      <c r="P316">
        <f>N316*O316</f>
        <v>50</v>
      </c>
      <c r="Q316">
        <f>(P316*$U$4)</f>
        <v>0.75</v>
      </c>
    </row>
    <row r="317" spans="1:17">
      <c r="A317" s="2">
        <v>317</v>
      </c>
      <c r="B317" s="4">
        <f>YEAR(H317)</f>
        <v>2023</v>
      </c>
      <c r="C317" s="4">
        <f>MONTH(H317)</f>
        <v>1</v>
      </c>
      <c r="D317" s="4">
        <f>DAY(H317)</f>
        <v>30</v>
      </c>
      <c r="E317" s="4" t="str">
        <f>TEXT(H317,"dddd")</f>
        <v>Monday</v>
      </c>
      <c r="F317" s="4" t="str">
        <f t="shared" si="5"/>
        <v>January</v>
      </c>
      <c r="G317" s="4"/>
      <c r="H317" s="3">
        <v>44956</v>
      </c>
      <c r="I317" s="4" t="s">
        <v>351</v>
      </c>
      <c r="J317" s="4" t="s">
        <v>27</v>
      </c>
      <c r="K317" s="4">
        <v>50</v>
      </c>
      <c r="L317" s="4" t="str" cm="1">
        <f t="array" ref="L317">_xlfn.IFS(K317&gt;=50, "Senior", K317&gt;=30, "Adult", K317&lt;30, "Young Adult")</f>
        <v>Senior</v>
      </c>
      <c r="M317" s="4" t="s">
        <v>10</v>
      </c>
      <c r="N317" s="4">
        <v>3</v>
      </c>
      <c r="O317" s="5">
        <v>30</v>
      </c>
      <c r="P317">
        <f>N317*O317</f>
        <v>90</v>
      </c>
      <c r="Q317">
        <f>(P317*$U$4)</f>
        <v>1.3499999999999999</v>
      </c>
    </row>
    <row r="318" spans="1:17">
      <c r="A318" s="2">
        <v>318</v>
      </c>
      <c r="B318" s="4">
        <f>YEAR(H318)</f>
        <v>2023</v>
      </c>
      <c r="C318" s="4">
        <f>MONTH(H318)</f>
        <v>10</v>
      </c>
      <c r="D318" s="4">
        <f>DAY(H318)</f>
        <v>24</v>
      </c>
      <c r="E318" s="4" t="str">
        <f>TEXT(H318,"dddd")</f>
        <v>Tuesday</v>
      </c>
      <c r="F318" s="4" t="str">
        <f t="shared" si="5"/>
        <v>October</v>
      </c>
      <c r="G318" s="4"/>
      <c r="H318" s="3">
        <v>45223</v>
      </c>
      <c r="I318" s="4" t="s">
        <v>352</v>
      </c>
      <c r="J318" s="4" t="s">
        <v>27</v>
      </c>
      <c r="K318" s="4">
        <v>50</v>
      </c>
      <c r="L318" s="4" t="str" cm="1">
        <f t="array" ref="L318">_xlfn.IFS(K318&gt;=50, "Senior", K318&gt;=30, "Adult", K318&lt;30, "Young Adult")</f>
        <v>Senior</v>
      </c>
      <c r="M318" s="4" t="s">
        <v>8</v>
      </c>
      <c r="N318" s="4">
        <v>1</v>
      </c>
      <c r="O318" s="5">
        <v>25</v>
      </c>
      <c r="P318">
        <f>N318*O318</f>
        <v>25</v>
      </c>
      <c r="Q318">
        <f>(P318*$U$4)</f>
        <v>0.375</v>
      </c>
    </row>
    <row r="319" spans="1:17">
      <c r="A319" s="2">
        <v>319</v>
      </c>
      <c r="B319" s="4">
        <f>YEAR(H319)</f>
        <v>2023</v>
      </c>
      <c r="C319" s="4">
        <f>MONTH(H319)</f>
        <v>10</v>
      </c>
      <c r="D319" s="4">
        <f>DAY(H319)</f>
        <v>5</v>
      </c>
      <c r="E319" s="4" t="str">
        <f>TEXT(H319,"dddd")</f>
        <v>Thursday</v>
      </c>
      <c r="F319" s="4" t="str">
        <f t="shared" si="5"/>
        <v>October</v>
      </c>
      <c r="G319" s="4"/>
      <c r="H319" s="3">
        <v>45204</v>
      </c>
      <c r="I319" s="4" t="s">
        <v>353</v>
      </c>
      <c r="J319" s="4" t="s">
        <v>27</v>
      </c>
      <c r="K319" s="4">
        <v>50</v>
      </c>
      <c r="L319" s="4" t="str" cm="1">
        <f t="array" ref="L319">_xlfn.IFS(K319&gt;=50, "Senior", K319&gt;=30, "Adult", K319&lt;30, "Young Adult")</f>
        <v>Senior</v>
      </c>
      <c r="M319" s="4" t="s">
        <v>8</v>
      </c>
      <c r="N319" s="4">
        <v>1</v>
      </c>
      <c r="O319" s="5">
        <v>500</v>
      </c>
      <c r="P319">
        <f>N319*O319</f>
        <v>500</v>
      </c>
      <c r="Q319">
        <f>(P319*$U$4)</f>
        <v>7.5</v>
      </c>
    </row>
    <row r="320" spans="1:17">
      <c r="A320" s="2">
        <v>320</v>
      </c>
      <c r="B320" s="4">
        <f>YEAR(H320)</f>
        <v>2023</v>
      </c>
      <c r="C320" s="4">
        <f>MONTH(H320)</f>
        <v>2</v>
      </c>
      <c r="D320" s="4">
        <f>DAY(H320)</f>
        <v>1</v>
      </c>
      <c r="E320" s="4" t="str">
        <f>TEXT(H320,"dddd")</f>
        <v>Wednesday</v>
      </c>
      <c r="F320" s="4" t="str">
        <f t="shared" si="5"/>
        <v>February</v>
      </c>
      <c r="G320" s="4"/>
      <c r="H320" s="3">
        <v>44958</v>
      </c>
      <c r="I320" s="4" t="s">
        <v>354</v>
      </c>
      <c r="J320" s="4" t="s">
        <v>29</v>
      </c>
      <c r="K320" s="4">
        <v>50</v>
      </c>
      <c r="L320" s="4" t="str" cm="1">
        <f t="array" ref="L320">_xlfn.IFS(K320&gt;=50, "Senior", K320&gt;=30, "Adult", K320&lt;30, "Young Adult")</f>
        <v>Senior</v>
      </c>
      <c r="M320" s="4" t="s">
        <v>10</v>
      </c>
      <c r="N320" s="4">
        <v>4</v>
      </c>
      <c r="O320" s="5">
        <v>300</v>
      </c>
      <c r="P320">
        <f>N320*O320</f>
        <v>1200</v>
      </c>
      <c r="Q320">
        <f>(P320*$U$4)</f>
        <v>18</v>
      </c>
    </row>
    <row r="321" spans="1:17">
      <c r="A321" s="2">
        <v>321</v>
      </c>
      <c r="B321" s="4">
        <f>YEAR(H321)</f>
        <v>2023</v>
      </c>
      <c r="C321" s="4">
        <f>MONTH(H321)</f>
        <v>6</v>
      </c>
      <c r="D321" s="4">
        <f>DAY(H321)</f>
        <v>10</v>
      </c>
      <c r="E321" s="4" t="str">
        <f>TEXT(H321,"dddd")</f>
        <v>Saturday</v>
      </c>
      <c r="F321" s="4" t="str">
        <f t="shared" si="5"/>
        <v>June</v>
      </c>
      <c r="G321" s="4"/>
      <c r="H321" s="3">
        <v>45087</v>
      </c>
      <c r="I321" s="4" t="s">
        <v>355</v>
      </c>
      <c r="J321" s="4" t="s">
        <v>29</v>
      </c>
      <c r="K321" s="4">
        <v>50</v>
      </c>
      <c r="L321" s="4" t="str" cm="1">
        <f t="array" ref="L321">_xlfn.IFS(K321&gt;=50, "Senior", K321&gt;=30, "Adult", K321&lt;30, "Young Adult")</f>
        <v>Senior</v>
      </c>
      <c r="M321" s="4" t="s">
        <v>10</v>
      </c>
      <c r="N321" s="4">
        <v>2</v>
      </c>
      <c r="O321" s="5">
        <v>25</v>
      </c>
      <c r="P321">
        <f>N321*O321</f>
        <v>50</v>
      </c>
      <c r="Q321">
        <f>(P321*$U$4)</f>
        <v>0.75</v>
      </c>
    </row>
    <row r="322" spans="1:17">
      <c r="A322" s="2">
        <v>322</v>
      </c>
      <c r="B322" s="4">
        <f>YEAR(H322)</f>
        <v>2023</v>
      </c>
      <c r="C322" s="4">
        <f>MONTH(H322)</f>
        <v>1</v>
      </c>
      <c r="D322" s="4">
        <f>DAY(H322)</f>
        <v>30</v>
      </c>
      <c r="E322" s="4" t="str">
        <f>TEXT(H322,"dddd")</f>
        <v>Monday</v>
      </c>
      <c r="F322" s="4" t="str">
        <f t="shared" si="5"/>
        <v>January</v>
      </c>
      <c r="G322" s="4"/>
      <c r="H322" s="3">
        <v>44956</v>
      </c>
      <c r="I322" s="4" t="s">
        <v>356</v>
      </c>
      <c r="J322" s="4" t="s">
        <v>27</v>
      </c>
      <c r="K322" s="4">
        <v>50</v>
      </c>
      <c r="L322" s="4" t="str" cm="1">
        <f t="array" ref="L322">_xlfn.IFS(K322&gt;=50, "Senior", K322&gt;=30, "Adult", K322&lt;30, "Young Adult")</f>
        <v>Senior</v>
      </c>
      <c r="M322" s="4" t="s">
        <v>10</v>
      </c>
      <c r="N322" s="4">
        <v>1</v>
      </c>
      <c r="O322" s="5">
        <v>500</v>
      </c>
      <c r="P322">
        <f>N322*O322</f>
        <v>500</v>
      </c>
      <c r="Q322">
        <f>(P322*$U$4)</f>
        <v>7.5</v>
      </c>
    </row>
    <row r="323" spans="1:17">
      <c r="A323" s="2">
        <v>323</v>
      </c>
      <c r="B323" s="4">
        <f>YEAR(H323)</f>
        <v>2023</v>
      </c>
      <c r="C323" s="4">
        <f>MONTH(H323)</f>
        <v>1</v>
      </c>
      <c r="D323" s="4">
        <f>DAY(H323)</f>
        <v>26</v>
      </c>
      <c r="E323" s="4" t="str">
        <f>TEXT(H323,"dddd")</f>
        <v>Thursday</v>
      </c>
      <c r="F323" s="4" t="str">
        <f t="shared" ref="F323:F386" si="6">TEXT(H323,"mmmm")</f>
        <v>January</v>
      </c>
      <c r="G323" s="4"/>
      <c r="H323" s="3">
        <v>44952</v>
      </c>
      <c r="I323" s="4" t="s">
        <v>357</v>
      </c>
      <c r="J323" s="4" t="s">
        <v>29</v>
      </c>
      <c r="K323" s="4">
        <v>50</v>
      </c>
      <c r="L323" s="4" t="str" cm="1">
        <f t="array" ref="L323">_xlfn.IFS(K323&gt;=50, "Senior", K323&gt;=30, "Adult", K323&lt;30, "Young Adult")</f>
        <v>Senior</v>
      </c>
      <c r="M323" s="4" t="s">
        <v>3</v>
      </c>
      <c r="N323" s="4">
        <v>3</v>
      </c>
      <c r="O323" s="5">
        <v>300</v>
      </c>
      <c r="P323">
        <f>N323*O323</f>
        <v>900</v>
      </c>
      <c r="Q323">
        <f>(P323*$U$4)</f>
        <v>13.5</v>
      </c>
    </row>
    <row r="324" spans="1:17">
      <c r="A324" s="2">
        <v>324</v>
      </c>
      <c r="B324" s="4">
        <f>YEAR(H324)</f>
        <v>2023</v>
      </c>
      <c r="C324" s="4">
        <f>MONTH(H324)</f>
        <v>10</v>
      </c>
      <c r="D324" s="4">
        <f>DAY(H324)</f>
        <v>27</v>
      </c>
      <c r="E324" s="4" t="str">
        <f>TEXT(H324,"dddd")</f>
        <v>Friday</v>
      </c>
      <c r="F324" s="4" t="str">
        <f t="shared" si="6"/>
        <v>October</v>
      </c>
      <c r="G324" s="4"/>
      <c r="H324" s="3">
        <v>45226</v>
      </c>
      <c r="I324" s="4" t="s">
        <v>358</v>
      </c>
      <c r="J324" s="4" t="s">
        <v>29</v>
      </c>
      <c r="K324" s="4">
        <v>50</v>
      </c>
      <c r="L324" s="4" t="str" cm="1">
        <f t="array" ref="L324">_xlfn.IFS(K324&gt;=50, "Senior", K324&gt;=30, "Adult", K324&lt;30, "Young Adult")</f>
        <v>Senior</v>
      </c>
      <c r="M324" s="4" t="s">
        <v>10</v>
      </c>
      <c r="N324" s="4">
        <v>3</v>
      </c>
      <c r="O324" s="5">
        <v>50</v>
      </c>
      <c r="P324">
        <f>N324*O324</f>
        <v>150</v>
      </c>
      <c r="Q324">
        <f>(P324*$U$4)</f>
        <v>2.25</v>
      </c>
    </row>
    <row r="325" spans="1:17">
      <c r="A325" s="2">
        <v>325</v>
      </c>
      <c r="B325" s="4">
        <f>YEAR(H325)</f>
        <v>2023</v>
      </c>
      <c r="C325" s="4">
        <f>MONTH(H325)</f>
        <v>9</v>
      </c>
      <c r="D325" s="4">
        <f>DAY(H325)</f>
        <v>2</v>
      </c>
      <c r="E325" s="4" t="str">
        <f>TEXT(H325,"dddd")</f>
        <v>Saturday</v>
      </c>
      <c r="F325" s="4" t="str">
        <f t="shared" si="6"/>
        <v>September</v>
      </c>
      <c r="G325" s="4"/>
      <c r="H325" s="3">
        <v>45171</v>
      </c>
      <c r="I325" s="4" t="s">
        <v>359</v>
      </c>
      <c r="J325" s="4" t="s">
        <v>29</v>
      </c>
      <c r="K325" s="4">
        <v>50</v>
      </c>
      <c r="L325" s="4" t="str" cm="1">
        <f t="array" ref="L325">_xlfn.IFS(K325&gt;=50, "Senior", K325&gt;=30, "Adult", K325&lt;30, "Young Adult")</f>
        <v>Senior</v>
      </c>
      <c r="M325" s="4" t="s">
        <v>10</v>
      </c>
      <c r="N325" s="4">
        <v>2</v>
      </c>
      <c r="O325" s="5">
        <v>25</v>
      </c>
      <c r="P325">
        <f>N325*O325</f>
        <v>50</v>
      </c>
      <c r="Q325">
        <f>(P325*$U$4)</f>
        <v>0.75</v>
      </c>
    </row>
    <row r="326" spans="1:17">
      <c r="A326" s="2">
        <v>326</v>
      </c>
      <c r="B326" s="4">
        <f>YEAR(H326)</f>
        <v>2023</v>
      </c>
      <c r="C326" s="4">
        <f>MONTH(H326)</f>
        <v>9</v>
      </c>
      <c r="D326" s="4">
        <f>DAY(H326)</f>
        <v>15</v>
      </c>
      <c r="E326" s="4" t="str">
        <f>TEXT(H326,"dddd")</f>
        <v>Friday</v>
      </c>
      <c r="F326" s="4" t="str">
        <f t="shared" si="6"/>
        <v>September</v>
      </c>
      <c r="G326" s="4"/>
      <c r="H326" s="3">
        <v>45184</v>
      </c>
      <c r="I326" s="4" t="s">
        <v>360</v>
      </c>
      <c r="J326" s="4" t="s">
        <v>29</v>
      </c>
      <c r="K326" s="4">
        <v>50</v>
      </c>
      <c r="L326" s="4" t="str" cm="1">
        <f t="array" ref="L326">_xlfn.IFS(K326&gt;=50, "Senior", K326&gt;=30, "Adult", K326&lt;30, "Young Adult")</f>
        <v>Senior</v>
      </c>
      <c r="M326" s="4" t="s">
        <v>8</v>
      </c>
      <c r="N326" s="4">
        <v>3</v>
      </c>
      <c r="O326" s="5">
        <v>25</v>
      </c>
      <c r="P326">
        <f>N326*O326</f>
        <v>75</v>
      </c>
      <c r="Q326">
        <f>(P326*$U$4)</f>
        <v>1.125</v>
      </c>
    </row>
    <row r="327" spans="1:17">
      <c r="A327" s="2">
        <v>327</v>
      </c>
      <c r="B327" s="4">
        <f>YEAR(H327)</f>
        <v>2023</v>
      </c>
      <c r="C327" s="4">
        <f>MONTH(H327)</f>
        <v>9</v>
      </c>
      <c r="D327" s="4">
        <f>DAY(H327)</f>
        <v>29</v>
      </c>
      <c r="E327" s="4" t="str">
        <f>TEXT(H327,"dddd")</f>
        <v>Friday</v>
      </c>
      <c r="F327" s="4" t="str">
        <f t="shared" si="6"/>
        <v>September</v>
      </c>
      <c r="G327" s="4"/>
      <c r="H327" s="3">
        <v>45198</v>
      </c>
      <c r="I327" s="4" t="s">
        <v>361</v>
      </c>
      <c r="J327" s="4" t="s">
        <v>27</v>
      </c>
      <c r="K327" s="4">
        <v>50</v>
      </c>
      <c r="L327" s="4" t="str" cm="1">
        <f t="array" ref="L327">_xlfn.IFS(K327&gt;=50, "Senior", K327&gt;=30, "Adult", K327&lt;30, "Young Adult")</f>
        <v>Senior</v>
      </c>
      <c r="M327" s="4" t="s">
        <v>10</v>
      </c>
      <c r="N327" s="4">
        <v>3</v>
      </c>
      <c r="O327" s="5">
        <v>50</v>
      </c>
      <c r="P327">
        <f>N327*O327</f>
        <v>150</v>
      </c>
      <c r="Q327">
        <f>(P327*$U$4)</f>
        <v>2.25</v>
      </c>
    </row>
    <row r="328" spans="1:17">
      <c r="A328" s="2">
        <v>328</v>
      </c>
      <c r="B328" s="4">
        <f>YEAR(H328)</f>
        <v>2023</v>
      </c>
      <c r="C328" s="4">
        <f>MONTH(H328)</f>
        <v>3</v>
      </c>
      <c r="D328" s="4">
        <f>DAY(H328)</f>
        <v>22</v>
      </c>
      <c r="E328" s="4" t="str">
        <f>TEXT(H328,"dddd")</f>
        <v>Wednesday</v>
      </c>
      <c r="F328" s="4" t="str">
        <f t="shared" si="6"/>
        <v>March</v>
      </c>
      <c r="G328" s="4"/>
      <c r="H328" s="3">
        <v>45007</v>
      </c>
      <c r="I328" s="4" t="s">
        <v>362</v>
      </c>
      <c r="J328" s="4" t="s">
        <v>27</v>
      </c>
      <c r="K328" s="4">
        <v>50</v>
      </c>
      <c r="L328" s="4" t="str" cm="1">
        <f t="array" ref="L328">_xlfn.IFS(K328&gt;=50, "Senior", K328&gt;=30, "Adult", K328&lt;30, "Young Adult")</f>
        <v>Senior</v>
      </c>
      <c r="M328" s="4" t="s">
        <v>3</v>
      </c>
      <c r="N328" s="4">
        <v>2</v>
      </c>
      <c r="O328" s="5">
        <v>50</v>
      </c>
      <c r="P328">
        <f>N328*O328</f>
        <v>100</v>
      </c>
      <c r="Q328">
        <f>(P328*$U$4)</f>
        <v>1.5</v>
      </c>
    </row>
    <row r="329" spans="1:17">
      <c r="A329" s="2">
        <v>329</v>
      </c>
      <c r="B329" s="4">
        <f>YEAR(H329)</f>
        <v>2023</v>
      </c>
      <c r="C329" s="4">
        <f>MONTH(H329)</f>
        <v>1</v>
      </c>
      <c r="D329" s="4">
        <f>DAY(H329)</f>
        <v>30</v>
      </c>
      <c r="E329" s="4" t="str">
        <f>TEXT(H329,"dddd")</f>
        <v>Monday</v>
      </c>
      <c r="F329" s="4" t="str">
        <f t="shared" si="6"/>
        <v>January</v>
      </c>
      <c r="G329" s="4"/>
      <c r="H329" s="3">
        <v>44956</v>
      </c>
      <c r="I329" s="4" t="s">
        <v>363</v>
      </c>
      <c r="J329" s="4" t="s">
        <v>29</v>
      </c>
      <c r="K329" s="4">
        <v>50</v>
      </c>
      <c r="L329" s="4" t="str" cm="1">
        <f t="array" ref="L329">_xlfn.IFS(K329&gt;=50, "Senior", K329&gt;=30, "Adult", K329&lt;30, "Young Adult")</f>
        <v>Senior</v>
      </c>
      <c r="M329" s="4" t="s">
        <v>10</v>
      </c>
      <c r="N329" s="4">
        <v>4</v>
      </c>
      <c r="O329" s="5">
        <v>25</v>
      </c>
      <c r="P329">
        <f>N329*O329</f>
        <v>100</v>
      </c>
      <c r="Q329">
        <f>(P329*$U$4)</f>
        <v>1.5</v>
      </c>
    </row>
    <row r="330" spans="1:17">
      <c r="A330" s="2">
        <v>330</v>
      </c>
      <c r="B330" s="4">
        <f>YEAR(H330)</f>
        <v>2023</v>
      </c>
      <c r="C330" s="4">
        <f>MONTH(H330)</f>
        <v>9</v>
      </c>
      <c r="D330" s="4">
        <f>DAY(H330)</f>
        <v>18</v>
      </c>
      <c r="E330" s="4" t="str">
        <f>TEXT(H330,"dddd")</f>
        <v>Monday</v>
      </c>
      <c r="F330" s="4" t="str">
        <f t="shared" si="6"/>
        <v>September</v>
      </c>
      <c r="G330" s="4"/>
      <c r="H330" s="3">
        <v>45187</v>
      </c>
      <c r="I330" s="4" t="s">
        <v>364</v>
      </c>
      <c r="J330" s="4" t="s">
        <v>29</v>
      </c>
      <c r="K330" s="4">
        <v>50</v>
      </c>
      <c r="L330" s="4" t="str" cm="1">
        <f t="array" ref="L330">_xlfn.IFS(K330&gt;=50, "Senior", K330&gt;=30, "Adult", K330&lt;30, "Young Adult")</f>
        <v>Senior</v>
      </c>
      <c r="M330" s="4" t="s">
        <v>3</v>
      </c>
      <c r="N330" s="4">
        <v>4</v>
      </c>
      <c r="O330" s="5">
        <v>50</v>
      </c>
      <c r="P330">
        <f>N330*O330</f>
        <v>200</v>
      </c>
      <c r="Q330">
        <f>(P330*$U$4)</f>
        <v>3</v>
      </c>
    </row>
    <row r="331" spans="1:17">
      <c r="A331" s="2">
        <v>331</v>
      </c>
      <c r="B331" s="4">
        <f>YEAR(H331)</f>
        <v>2023</v>
      </c>
      <c r="C331" s="4">
        <f>MONTH(H331)</f>
        <v>2</v>
      </c>
      <c r="D331" s="4">
        <f>DAY(H331)</f>
        <v>11</v>
      </c>
      <c r="E331" s="4" t="str">
        <f>TEXT(H331,"dddd")</f>
        <v>Saturday</v>
      </c>
      <c r="F331" s="4" t="str">
        <f t="shared" si="6"/>
        <v>February</v>
      </c>
      <c r="G331" s="4"/>
      <c r="H331" s="3">
        <v>44968</v>
      </c>
      <c r="I331" s="4" t="s">
        <v>365</v>
      </c>
      <c r="J331" s="4" t="s">
        <v>27</v>
      </c>
      <c r="K331" s="4">
        <v>50</v>
      </c>
      <c r="L331" s="4" t="str" cm="1">
        <f t="array" ref="L331">_xlfn.IFS(K331&gt;=50, "Senior", K331&gt;=30, "Adult", K331&lt;30, "Young Adult")</f>
        <v>Senior</v>
      </c>
      <c r="M331" s="4" t="s">
        <v>10</v>
      </c>
      <c r="N331" s="4">
        <v>3</v>
      </c>
      <c r="O331" s="5">
        <v>30</v>
      </c>
      <c r="P331">
        <f>N331*O331</f>
        <v>90</v>
      </c>
      <c r="Q331">
        <f>(P331*$U$4)</f>
        <v>1.3499999999999999</v>
      </c>
    </row>
    <row r="332" spans="1:17">
      <c r="A332" s="2">
        <v>332</v>
      </c>
      <c r="B332" s="4">
        <f>YEAR(H332)</f>
        <v>2023</v>
      </c>
      <c r="C332" s="4">
        <f>MONTH(H332)</f>
        <v>4</v>
      </c>
      <c r="D332" s="4">
        <f>DAY(H332)</f>
        <v>6</v>
      </c>
      <c r="E332" s="4" t="str">
        <f>TEXT(H332,"dddd")</f>
        <v>Thursday</v>
      </c>
      <c r="F332" s="4" t="str">
        <f t="shared" si="6"/>
        <v>April</v>
      </c>
      <c r="G332" s="4"/>
      <c r="H332" s="3">
        <v>45022</v>
      </c>
      <c r="I332" s="4" t="s">
        <v>366</v>
      </c>
      <c r="J332" s="4" t="s">
        <v>27</v>
      </c>
      <c r="K332" s="4">
        <v>50</v>
      </c>
      <c r="L332" s="4" t="str" cm="1">
        <f t="array" ref="L332">_xlfn.IFS(K332&gt;=50, "Senior", K332&gt;=30, "Adult", K332&lt;30, "Young Adult")</f>
        <v>Senior</v>
      </c>
      <c r="M332" s="4" t="s">
        <v>10</v>
      </c>
      <c r="N332" s="4">
        <v>4</v>
      </c>
      <c r="O332" s="5">
        <v>300</v>
      </c>
      <c r="P332">
        <f>N332*O332</f>
        <v>1200</v>
      </c>
      <c r="Q332">
        <f>(P332*$U$4)</f>
        <v>18</v>
      </c>
    </row>
    <row r="333" spans="1:17">
      <c r="A333" s="2">
        <v>333</v>
      </c>
      <c r="B333" s="4">
        <f>YEAR(H333)</f>
        <v>2023</v>
      </c>
      <c r="C333" s="4">
        <f>MONTH(H333)</f>
        <v>2</v>
      </c>
      <c r="D333" s="4">
        <f>DAY(H333)</f>
        <v>5</v>
      </c>
      <c r="E333" s="4" t="str">
        <f>TEXT(H333,"dddd")</f>
        <v>Sunday</v>
      </c>
      <c r="F333" s="4" t="str">
        <f t="shared" si="6"/>
        <v>February</v>
      </c>
      <c r="G333" s="4"/>
      <c r="H333" s="3">
        <v>44962</v>
      </c>
      <c r="I333" s="4" t="s">
        <v>367</v>
      </c>
      <c r="J333" s="4" t="s">
        <v>29</v>
      </c>
      <c r="K333" s="4">
        <v>50</v>
      </c>
      <c r="L333" s="4" t="str" cm="1">
        <f t="array" ref="L333">_xlfn.IFS(K333&gt;=50, "Senior", K333&gt;=30, "Adult", K333&lt;30, "Young Adult")</f>
        <v>Senior</v>
      </c>
      <c r="M333" s="4" t="s">
        <v>10</v>
      </c>
      <c r="N333" s="4">
        <v>4</v>
      </c>
      <c r="O333" s="5">
        <v>300</v>
      </c>
      <c r="P333">
        <f>N333*O333</f>
        <v>1200</v>
      </c>
      <c r="Q333">
        <f>(P333*$U$4)</f>
        <v>18</v>
      </c>
    </row>
    <row r="334" spans="1:17">
      <c r="A334" s="2">
        <v>334</v>
      </c>
      <c r="B334" s="4">
        <f>YEAR(H334)</f>
        <v>2023</v>
      </c>
      <c r="C334" s="4">
        <f>MONTH(H334)</f>
        <v>11</v>
      </c>
      <c r="D334" s="4">
        <f>DAY(H334)</f>
        <v>1</v>
      </c>
      <c r="E334" s="4" t="str">
        <f>TEXT(H334,"dddd")</f>
        <v>Wednesday</v>
      </c>
      <c r="F334" s="4" t="str">
        <f t="shared" si="6"/>
        <v>November</v>
      </c>
      <c r="G334" s="4"/>
      <c r="H334" s="3">
        <v>45231</v>
      </c>
      <c r="I334" s="4" t="s">
        <v>368</v>
      </c>
      <c r="J334" s="4" t="s">
        <v>27</v>
      </c>
      <c r="K334" s="4">
        <v>50</v>
      </c>
      <c r="L334" s="4" t="str" cm="1">
        <f t="array" ref="L334">_xlfn.IFS(K334&gt;=50, "Senior", K334&gt;=30, "Adult", K334&lt;30, "Young Adult")</f>
        <v>Senior</v>
      </c>
      <c r="M334" s="4" t="s">
        <v>10</v>
      </c>
      <c r="N334" s="4">
        <v>3</v>
      </c>
      <c r="O334" s="5">
        <v>300</v>
      </c>
      <c r="P334">
        <f>N334*O334</f>
        <v>900</v>
      </c>
      <c r="Q334">
        <f>(P334*$U$4)</f>
        <v>13.5</v>
      </c>
    </row>
    <row r="335" spans="1:17">
      <c r="A335" s="2">
        <v>335</v>
      </c>
      <c r="B335" s="4">
        <f>YEAR(H335)</f>
        <v>2023</v>
      </c>
      <c r="C335" s="4">
        <f>MONTH(H335)</f>
        <v>2</v>
      </c>
      <c r="D335" s="4">
        <f>DAY(H335)</f>
        <v>4</v>
      </c>
      <c r="E335" s="4" t="str">
        <f>TEXT(H335,"dddd")</f>
        <v>Saturday</v>
      </c>
      <c r="F335" s="4" t="str">
        <f t="shared" si="6"/>
        <v>February</v>
      </c>
      <c r="G335" s="4"/>
      <c r="H335" s="3">
        <v>44961</v>
      </c>
      <c r="I335" s="4" t="s">
        <v>369</v>
      </c>
      <c r="J335" s="4" t="s">
        <v>29</v>
      </c>
      <c r="K335" s="4">
        <v>50</v>
      </c>
      <c r="L335" s="4" t="str" cm="1">
        <f t="array" ref="L335">_xlfn.IFS(K335&gt;=50, "Senior", K335&gt;=30, "Adult", K335&lt;30, "Young Adult")</f>
        <v>Senior</v>
      </c>
      <c r="M335" s="4" t="s">
        <v>3</v>
      </c>
      <c r="N335" s="4">
        <v>4</v>
      </c>
      <c r="O335" s="5">
        <v>30</v>
      </c>
      <c r="P335">
        <f>N335*O335</f>
        <v>120</v>
      </c>
      <c r="Q335">
        <f>(P335*$U$4)</f>
        <v>1.7999999999999998</v>
      </c>
    </row>
    <row r="336" spans="1:17">
      <c r="A336" s="2">
        <v>336</v>
      </c>
      <c r="B336" s="4">
        <f>YEAR(H336)</f>
        <v>2023</v>
      </c>
      <c r="C336" s="4">
        <f>MONTH(H336)</f>
        <v>12</v>
      </c>
      <c r="D336" s="4">
        <f>DAY(H336)</f>
        <v>12</v>
      </c>
      <c r="E336" s="4" t="str">
        <f>TEXT(H336,"dddd")</f>
        <v>Tuesday</v>
      </c>
      <c r="F336" s="4" t="str">
        <f t="shared" si="6"/>
        <v>December</v>
      </c>
      <c r="G336" s="4"/>
      <c r="H336" s="3">
        <v>45272</v>
      </c>
      <c r="I336" s="4" t="s">
        <v>370</v>
      </c>
      <c r="J336" s="4" t="s">
        <v>29</v>
      </c>
      <c r="K336" s="4">
        <v>50</v>
      </c>
      <c r="L336" s="4" t="str" cm="1">
        <f t="array" ref="L336">_xlfn.IFS(K336&gt;=50, "Senior", K336&gt;=30, "Adult", K336&lt;30, "Young Adult")</f>
        <v>Senior</v>
      </c>
      <c r="M336" s="4" t="s">
        <v>3</v>
      </c>
      <c r="N336" s="4">
        <v>3</v>
      </c>
      <c r="O336" s="5">
        <v>50</v>
      </c>
      <c r="P336">
        <f>N336*O336</f>
        <v>150</v>
      </c>
      <c r="Q336">
        <f>(P336*$U$4)</f>
        <v>2.25</v>
      </c>
    </row>
    <row r="337" spans="1:17">
      <c r="A337" s="2">
        <v>337</v>
      </c>
      <c r="B337" s="4">
        <f>YEAR(H337)</f>
        <v>2023</v>
      </c>
      <c r="C337" s="4">
        <f>MONTH(H337)</f>
        <v>5</v>
      </c>
      <c r="D337" s="4">
        <f>DAY(H337)</f>
        <v>1</v>
      </c>
      <c r="E337" s="4" t="str">
        <f>TEXT(H337,"dddd")</f>
        <v>Monday</v>
      </c>
      <c r="F337" s="4" t="str">
        <f t="shared" si="6"/>
        <v>May</v>
      </c>
      <c r="G337" s="4"/>
      <c r="H337" s="3">
        <v>45047</v>
      </c>
      <c r="I337" s="4" t="s">
        <v>371</v>
      </c>
      <c r="J337" s="4" t="s">
        <v>27</v>
      </c>
      <c r="K337" s="4">
        <v>49</v>
      </c>
      <c r="L337" s="4" t="str" cm="1">
        <f t="array" ref="L337">_xlfn.IFS(K337&gt;=50, "Senior", K337&gt;=30, "Adult", K337&lt;30, "Young Adult")</f>
        <v>Adult</v>
      </c>
      <c r="M337" s="4" t="s">
        <v>8</v>
      </c>
      <c r="N337" s="4">
        <v>1</v>
      </c>
      <c r="O337" s="5">
        <v>500</v>
      </c>
      <c r="P337">
        <f>N337*O337</f>
        <v>500</v>
      </c>
      <c r="Q337">
        <f>(P337*$U$4)</f>
        <v>7.5</v>
      </c>
    </row>
    <row r="338" spans="1:17">
      <c r="A338" s="2">
        <v>338</v>
      </c>
      <c r="B338" s="4">
        <f>YEAR(H338)</f>
        <v>2023</v>
      </c>
      <c r="C338" s="4">
        <f>MONTH(H338)</f>
        <v>7</v>
      </c>
      <c r="D338" s="4">
        <f>DAY(H338)</f>
        <v>26</v>
      </c>
      <c r="E338" s="4" t="str">
        <f>TEXT(H338,"dddd")</f>
        <v>Wednesday</v>
      </c>
      <c r="F338" s="4" t="str">
        <f t="shared" si="6"/>
        <v>July</v>
      </c>
      <c r="G338" s="4"/>
      <c r="H338" s="3">
        <v>45133</v>
      </c>
      <c r="I338" s="4" t="s">
        <v>372</v>
      </c>
      <c r="J338" s="4" t="s">
        <v>27</v>
      </c>
      <c r="K338" s="4">
        <v>49</v>
      </c>
      <c r="L338" s="4" t="str" cm="1">
        <f t="array" ref="L338">_xlfn.IFS(K338&gt;=50, "Senior", K338&gt;=30, "Adult", K338&lt;30, "Young Adult")</f>
        <v>Adult</v>
      </c>
      <c r="M338" s="4" t="s">
        <v>3</v>
      </c>
      <c r="N338" s="4">
        <v>2</v>
      </c>
      <c r="O338" s="5">
        <v>50</v>
      </c>
      <c r="P338">
        <f>N338*O338</f>
        <v>100</v>
      </c>
      <c r="Q338">
        <f>(P338*$U$4)</f>
        <v>1.5</v>
      </c>
    </row>
    <row r="339" spans="1:17">
      <c r="A339" s="2">
        <v>339</v>
      </c>
      <c r="B339" s="4">
        <f>YEAR(H339)</f>
        <v>2023</v>
      </c>
      <c r="C339" s="4">
        <f>MONTH(H339)</f>
        <v>3</v>
      </c>
      <c r="D339" s="4">
        <f>DAY(H339)</f>
        <v>3</v>
      </c>
      <c r="E339" s="4" t="str">
        <f>TEXT(H339,"dddd")</f>
        <v>Friday</v>
      </c>
      <c r="F339" s="4" t="str">
        <f t="shared" si="6"/>
        <v>March</v>
      </c>
      <c r="G339" s="4"/>
      <c r="H339" s="3">
        <v>44988</v>
      </c>
      <c r="I339" s="4" t="s">
        <v>373</v>
      </c>
      <c r="J339" s="4" t="s">
        <v>29</v>
      </c>
      <c r="K339" s="4">
        <v>49</v>
      </c>
      <c r="L339" s="4" t="str" cm="1">
        <f t="array" ref="L339">_xlfn.IFS(K339&gt;=50, "Senior", K339&gt;=30, "Adult", K339&lt;30, "Young Adult")</f>
        <v>Adult</v>
      </c>
      <c r="M339" s="4" t="s">
        <v>10</v>
      </c>
      <c r="N339" s="4">
        <v>2</v>
      </c>
      <c r="O339" s="5">
        <v>25</v>
      </c>
      <c r="P339">
        <f>N339*O339</f>
        <v>50</v>
      </c>
      <c r="Q339">
        <f>(P339*$U$4)</f>
        <v>0.75</v>
      </c>
    </row>
    <row r="340" spans="1:17">
      <c r="A340" s="2">
        <v>340</v>
      </c>
      <c r="B340" s="4">
        <f>YEAR(H340)</f>
        <v>2023</v>
      </c>
      <c r="C340" s="4">
        <f>MONTH(H340)</f>
        <v>10</v>
      </c>
      <c r="D340" s="4">
        <f>DAY(H340)</f>
        <v>19</v>
      </c>
      <c r="E340" s="4" t="str">
        <f>TEXT(H340,"dddd")</f>
        <v>Thursday</v>
      </c>
      <c r="F340" s="4" t="str">
        <f t="shared" si="6"/>
        <v>October</v>
      </c>
      <c r="G340" s="4"/>
      <c r="H340" s="3">
        <v>45218</v>
      </c>
      <c r="I340" s="4" t="s">
        <v>374</v>
      </c>
      <c r="J340" s="4" t="s">
        <v>29</v>
      </c>
      <c r="K340" s="4">
        <v>49</v>
      </c>
      <c r="L340" s="4" t="str" cm="1">
        <f t="array" ref="L340">_xlfn.IFS(K340&gt;=50, "Senior", K340&gt;=30, "Adult", K340&lt;30, "Young Adult")</f>
        <v>Adult</v>
      </c>
      <c r="M340" s="4" t="s">
        <v>8</v>
      </c>
      <c r="N340" s="4">
        <v>4</v>
      </c>
      <c r="O340" s="5">
        <v>300</v>
      </c>
      <c r="P340">
        <f>N340*O340</f>
        <v>1200</v>
      </c>
      <c r="Q340">
        <f>(P340*$U$4)</f>
        <v>18</v>
      </c>
    </row>
    <row r="341" spans="1:17">
      <c r="A341" s="2">
        <v>341</v>
      </c>
      <c r="B341" s="4">
        <f>YEAR(H341)</f>
        <v>2023</v>
      </c>
      <c r="C341" s="4">
        <f>MONTH(H341)</f>
        <v>5</v>
      </c>
      <c r="D341" s="4">
        <f>DAY(H341)</f>
        <v>7</v>
      </c>
      <c r="E341" s="4" t="str">
        <f>TEXT(H341,"dddd")</f>
        <v>Sunday</v>
      </c>
      <c r="F341" s="4" t="str">
        <f t="shared" si="6"/>
        <v>May</v>
      </c>
      <c r="G341" s="4"/>
      <c r="H341" s="3">
        <v>45053</v>
      </c>
      <c r="I341" s="4" t="s">
        <v>375</v>
      </c>
      <c r="J341" s="4" t="s">
        <v>27</v>
      </c>
      <c r="K341" s="4">
        <v>49</v>
      </c>
      <c r="L341" s="4" t="str" cm="1">
        <f t="array" ref="L341">_xlfn.IFS(K341&gt;=50, "Senior", K341&gt;=30, "Adult", K341&lt;30, "Young Adult")</f>
        <v>Adult</v>
      </c>
      <c r="M341" s="4" t="s">
        <v>8</v>
      </c>
      <c r="N341" s="4">
        <v>4</v>
      </c>
      <c r="O341" s="5">
        <v>50</v>
      </c>
      <c r="P341">
        <f>N341*O341</f>
        <v>200</v>
      </c>
      <c r="Q341">
        <f>(P341*$U$4)</f>
        <v>3</v>
      </c>
    </row>
    <row r="342" spans="1:17">
      <c r="A342" s="2">
        <v>342</v>
      </c>
      <c r="B342" s="4">
        <f>YEAR(H342)</f>
        <v>2023</v>
      </c>
      <c r="C342" s="4">
        <f>MONTH(H342)</f>
        <v>10</v>
      </c>
      <c r="D342" s="4">
        <f>DAY(H342)</f>
        <v>24</v>
      </c>
      <c r="E342" s="4" t="str">
        <f>TEXT(H342,"dddd")</f>
        <v>Tuesday</v>
      </c>
      <c r="F342" s="4" t="str">
        <f t="shared" si="6"/>
        <v>October</v>
      </c>
      <c r="G342" s="4"/>
      <c r="H342" s="3">
        <v>45223</v>
      </c>
      <c r="I342" s="4" t="s">
        <v>376</v>
      </c>
      <c r="J342" s="4" t="s">
        <v>29</v>
      </c>
      <c r="K342" s="4">
        <v>49</v>
      </c>
      <c r="L342" s="4" t="str" cm="1">
        <f t="array" ref="L342">_xlfn.IFS(K342&gt;=50, "Senior", K342&gt;=30, "Adult", K342&lt;30, "Young Adult")</f>
        <v>Adult</v>
      </c>
      <c r="M342" s="4" t="s">
        <v>8</v>
      </c>
      <c r="N342" s="4">
        <v>4</v>
      </c>
      <c r="O342" s="5">
        <v>500</v>
      </c>
      <c r="P342">
        <f>N342*O342</f>
        <v>2000</v>
      </c>
      <c r="Q342">
        <f>(P342*$U$4)</f>
        <v>30</v>
      </c>
    </row>
    <row r="343" spans="1:17">
      <c r="A343" s="2">
        <v>343</v>
      </c>
      <c r="B343" s="4">
        <f>YEAR(H343)</f>
        <v>2023</v>
      </c>
      <c r="C343" s="4">
        <f>MONTH(H343)</f>
        <v>11</v>
      </c>
      <c r="D343" s="4">
        <f>DAY(H343)</f>
        <v>1</v>
      </c>
      <c r="E343" s="4" t="str">
        <f>TEXT(H343,"dddd")</f>
        <v>Wednesday</v>
      </c>
      <c r="F343" s="4" t="str">
        <f t="shared" si="6"/>
        <v>November</v>
      </c>
      <c r="G343" s="4"/>
      <c r="H343" s="3">
        <v>45231</v>
      </c>
      <c r="I343" s="4" t="s">
        <v>377</v>
      </c>
      <c r="J343" s="4" t="s">
        <v>27</v>
      </c>
      <c r="K343" s="4">
        <v>49</v>
      </c>
      <c r="L343" s="4" t="str" cm="1">
        <f t="array" ref="L343">_xlfn.IFS(K343&gt;=50, "Senior", K343&gt;=30, "Adult", K343&lt;30, "Young Adult")</f>
        <v>Adult</v>
      </c>
      <c r="M343" s="4" t="s">
        <v>10</v>
      </c>
      <c r="N343" s="4">
        <v>2</v>
      </c>
      <c r="O343" s="5">
        <v>25</v>
      </c>
      <c r="P343">
        <f>N343*O343</f>
        <v>50</v>
      </c>
      <c r="Q343">
        <f>(P343*$U$4)</f>
        <v>0.75</v>
      </c>
    </row>
    <row r="344" spans="1:17">
      <c r="A344" s="2">
        <v>344</v>
      </c>
      <c r="B344" s="4">
        <f>YEAR(H344)</f>
        <v>2023</v>
      </c>
      <c r="C344" s="4">
        <f>MONTH(H344)</f>
        <v>1</v>
      </c>
      <c r="D344" s="4">
        <f>DAY(H344)</f>
        <v>21</v>
      </c>
      <c r="E344" s="4" t="str">
        <f>TEXT(H344,"dddd")</f>
        <v>Saturday</v>
      </c>
      <c r="F344" s="4" t="str">
        <f t="shared" si="6"/>
        <v>January</v>
      </c>
      <c r="G344" s="4"/>
      <c r="H344" s="3">
        <v>44947</v>
      </c>
      <c r="I344" s="4" t="s">
        <v>378</v>
      </c>
      <c r="J344" s="4" t="s">
        <v>29</v>
      </c>
      <c r="K344" s="4">
        <v>49</v>
      </c>
      <c r="L344" s="4" t="str" cm="1">
        <f t="array" ref="L344">_xlfn.IFS(K344&gt;=50, "Senior", K344&gt;=30, "Adult", K344&lt;30, "Young Adult")</f>
        <v>Adult</v>
      </c>
      <c r="M344" s="4" t="s">
        <v>3</v>
      </c>
      <c r="N344" s="4">
        <v>1</v>
      </c>
      <c r="O344" s="5">
        <v>30</v>
      </c>
      <c r="P344">
        <f>N344*O344</f>
        <v>30</v>
      </c>
      <c r="Q344">
        <f>(P344*$U$4)</f>
        <v>0.44999999999999996</v>
      </c>
    </row>
    <row r="345" spans="1:17">
      <c r="A345" s="2">
        <v>345</v>
      </c>
      <c r="B345" s="4">
        <f>YEAR(H345)</f>
        <v>2023</v>
      </c>
      <c r="C345" s="4">
        <f>MONTH(H345)</f>
        <v>11</v>
      </c>
      <c r="D345" s="4">
        <f>DAY(H345)</f>
        <v>14</v>
      </c>
      <c r="E345" s="4" t="str">
        <f>TEXT(H345,"dddd")</f>
        <v>Tuesday</v>
      </c>
      <c r="F345" s="4" t="str">
        <f t="shared" si="6"/>
        <v>November</v>
      </c>
      <c r="G345" s="4"/>
      <c r="H345" s="3">
        <v>45244</v>
      </c>
      <c r="I345" s="4" t="s">
        <v>379</v>
      </c>
      <c r="J345" s="4" t="s">
        <v>27</v>
      </c>
      <c r="K345" s="4">
        <v>49</v>
      </c>
      <c r="L345" s="4" t="str" cm="1">
        <f t="array" ref="L345">_xlfn.IFS(K345&gt;=50, "Senior", K345&gt;=30, "Adult", K345&lt;30, "Young Adult")</f>
        <v>Adult</v>
      </c>
      <c r="M345" s="4" t="s">
        <v>10</v>
      </c>
      <c r="N345" s="4">
        <v>1</v>
      </c>
      <c r="O345" s="5">
        <v>30</v>
      </c>
      <c r="P345">
        <f>N345*O345</f>
        <v>30</v>
      </c>
      <c r="Q345">
        <f>(P345*$U$4)</f>
        <v>0.44999999999999996</v>
      </c>
    </row>
    <row r="346" spans="1:17">
      <c r="A346" s="2">
        <v>346</v>
      </c>
      <c r="B346" s="4">
        <f>YEAR(H346)</f>
        <v>2023</v>
      </c>
      <c r="C346" s="4">
        <f>MONTH(H346)</f>
        <v>2</v>
      </c>
      <c r="D346" s="4">
        <f>DAY(H346)</f>
        <v>11</v>
      </c>
      <c r="E346" s="4" t="str">
        <f>TEXT(H346,"dddd")</f>
        <v>Saturday</v>
      </c>
      <c r="F346" s="4" t="str">
        <f t="shared" si="6"/>
        <v>February</v>
      </c>
      <c r="G346" s="4"/>
      <c r="H346" s="3">
        <v>44968</v>
      </c>
      <c r="I346" s="4" t="s">
        <v>380</v>
      </c>
      <c r="J346" s="4" t="s">
        <v>27</v>
      </c>
      <c r="K346" s="4">
        <v>49</v>
      </c>
      <c r="L346" s="4" t="str" cm="1">
        <f t="array" ref="L346">_xlfn.IFS(K346&gt;=50, "Senior", K346&gt;=30, "Adult", K346&lt;30, "Young Adult")</f>
        <v>Adult</v>
      </c>
      <c r="M346" s="4" t="s">
        <v>8</v>
      </c>
      <c r="N346" s="4">
        <v>2</v>
      </c>
      <c r="O346" s="5">
        <v>500</v>
      </c>
      <c r="P346">
        <f>N346*O346</f>
        <v>1000</v>
      </c>
      <c r="Q346">
        <f>(P346*$U$4)</f>
        <v>15</v>
      </c>
    </row>
    <row r="347" spans="1:17">
      <c r="A347" s="2">
        <v>347</v>
      </c>
      <c r="B347" s="4">
        <f>YEAR(H347)</f>
        <v>2023</v>
      </c>
      <c r="C347" s="4">
        <f>MONTH(H347)</f>
        <v>8</v>
      </c>
      <c r="D347" s="4">
        <f>DAY(H347)</f>
        <v>3</v>
      </c>
      <c r="E347" s="4" t="str">
        <f>TEXT(H347,"dddd")</f>
        <v>Thursday</v>
      </c>
      <c r="F347" s="4" t="str">
        <f t="shared" si="6"/>
        <v>August</v>
      </c>
      <c r="G347" s="4"/>
      <c r="H347" s="3">
        <v>45141</v>
      </c>
      <c r="I347" s="4" t="s">
        <v>381</v>
      </c>
      <c r="J347" s="4" t="s">
        <v>27</v>
      </c>
      <c r="K347" s="4">
        <v>49</v>
      </c>
      <c r="L347" s="4" t="str" cm="1">
        <f t="array" ref="L347">_xlfn.IFS(K347&gt;=50, "Senior", K347&gt;=30, "Adult", K347&lt;30, "Young Adult")</f>
        <v>Adult</v>
      </c>
      <c r="M347" s="4" t="s">
        <v>10</v>
      </c>
      <c r="N347" s="4">
        <v>1</v>
      </c>
      <c r="O347" s="5">
        <v>25</v>
      </c>
      <c r="P347">
        <f>N347*O347</f>
        <v>25</v>
      </c>
      <c r="Q347">
        <f>(P347*$U$4)</f>
        <v>0.375</v>
      </c>
    </row>
    <row r="348" spans="1:17">
      <c r="A348" s="2">
        <v>348</v>
      </c>
      <c r="B348" s="4">
        <f>YEAR(H348)</f>
        <v>2023</v>
      </c>
      <c r="C348" s="4">
        <f>MONTH(H348)</f>
        <v>12</v>
      </c>
      <c r="D348" s="4">
        <f>DAY(H348)</f>
        <v>3</v>
      </c>
      <c r="E348" s="4" t="str">
        <f>TEXT(H348,"dddd")</f>
        <v>Sunday</v>
      </c>
      <c r="F348" s="4" t="str">
        <f t="shared" si="6"/>
        <v>December</v>
      </c>
      <c r="G348" s="4"/>
      <c r="H348" s="3">
        <v>45263</v>
      </c>
      <c r="I348" s="4" t="s">
        <v>382</v>
      </c>
      <c r="J348" s="4" t="s">
        <v>29</v>
      </c>
      <c r="K348" s="4">
        <v>49</v>
      </c>
      <c r="L348" s="4" t="str" cm="1">
        <f t="array" ref="L348">_xlfn.IFS(K348&gt;=50, "Senior", K348&gt;=30, "Adult", K348&lt;30, "Young Adult")</f>
        <v>Adult</v>
      </c>
      <c r="M348" s="4" t="s">
        <v>10</v>
      </c>
      <c r="N348" s="4">
        <v>2</v>
      </c>
      <c r="O348" s="5">
        <v>300</v>
      </c>
      <c r="P348">
        <f>N348*O348</f>
        <v>600</v>
      </c>
      <c r="Q348">
        <f>(P348*$U$4)</f>
        <v>9</v>
      </c>
    </row>
    <row r="349" spans="1:17">
      <c r="A349" s="2">
        <v>349</v>
      </c>
      <c r="B349" s="4">
        <f>YEAR(H349)</f>
        <v>2023</v>
      </c>
      <c r="C349" s="4">
        <f>MONTH(H349)</f>
        <v>10</v>
      </c>
      <c r="D349" s="4">
        <f>DAY(H349)</f>
        <v>26</v>
      </c>
      <c r="E349" s="4" t="str">
        <f>TEXT(H349,"dddd")</f>
        <v>Thursday</v>
      </c>
      <c r="F349" s="4" t="str">
        <f t="shared" si="6"/>
        <v>October</v>
      </c>
      <c r="G349" s="4"/>
      <c r="H349" s="3">
        <v>45225</v>
      </c>
      <c r="I349" s="4" t="s">
        <v>383</v>
      </c>
      <c r="J349" s="4" t="s">
        <v>29</v>
      </c>
      <c r="K349" s="4">
        <v>49</v>
      </c>
      <c r="L349" s="4" t="str" cm="1">
        <f t="array" ref="L349">_xlfn.IFS(K349&gt;=50, "Senior", K349&gt;=30, "Adult", K349&lt;30, "Young Adult")</f>
        <v>Adult</v>
      </c>
      <c r="M349" s="4" t="s">
        <v>3</v>
      </c>
      <c r="N349" s="4">
        <v>1</v>
      </c>
      <c r="O349" s="5">
        <v>50</v>
      </c>
      <c r="P349">
        <f>N349*O349</f>
        <v>50</v>
      </c>
      <c r="Q349">
        <f>(P349*$U$4)</f>
        <v>0.75</v>
      </c>
    </row>
    <row r="350" spans="1:17">
      <c r="A350" s="2">
        <v>350</v>
      </c>
      <c r="B350" s="4">
        <f>YEAR(H350)</f>
        <v>2023</v>
      </c>
      <c r="C350" s="4">
        <f>MONTH(H350)</f>
        <v>10</v>
      </c>
      <c r="D350" s="4">
        <f>DAY(H350)</f>
        <v>17</v>
      </c>
      <c r="E350" s="4" t="str">
        <f>TEXT(H350,"dddd")</f>
        <v>Tuesday</v>
      </c>
      <c r="F350" s="4" t="str">
        <f t="shared" si="6"/>
        <v>October</v>
      </c>
      <c r="G350" s="4"/>
      <c r="H350" s="3">
        <v>45216</v>
      </c>
      <c r="I350" s="4" t="s">
        <v>384</v>
      </c>
      <c r="J350" s="4" t="s">
        <v>27</v>
      </c>
      <c r="K350" s="4">
        <v>49</v>
      </c>
      <c r="L350" s="4" t="str" cm="1">
        <f t="array" ref="L350">_xlfn.IFS(K350&gt;=50, "Senior", K350&gt;=30, "Adult", K350&lt;30, "Young Adult")</f>
        <v>Adult</v>
      </c>
      <c r="M350" s="4" t="s">
        <v>3</v>
      </c>
      <c r="N350" s="4">
        <v>3</v>
      </c>
      <c r="O350" s="5">
        <v>25</v>
      </c>
      <c r="P350">
        <f>N350*O350</f>
        <v>75</v>
      </c>
      <c r="Q350">
        <f>(P350*$U$4)</f>
        <v>1.125</v>
      </c>
    </row>
    <row r="351" spans="1:17">
      <c r="A351" s="2">
        <v>351</v>
      </c>
      <c r="B351" s="4">
        <f>YEAR(H351)</f>
        <v>2023</v>
      </c>
      <c r="C351" s="4">
        <f>MONTH(H351)</f>
        <v>9</v>
      </c>
      <c r="D351" s="4">
        <f>DAY(H351)</f>
        <v>25</v>
      </c>
      <c r="E351" s="4" t="str">
        <f>TEXT(H351,"dddd")</f>
        <v>Monday</v>
      </c>
      <c r="F351" s="4" t="str">
        <f t="shared" si="6"/>
        <v>September</v>
      </c>
      <c r="G351" s="4"/>
      <c r="H351" s="3">
        <v>45194</v>
      </c>
      <c r="I351" s="4" t="s">
        <v>385</v>
      </c>
      <c r="J351" s="4" t="s">
        <v>29</v>
      </c>
      <c r="K351" s="4">
        <v>49</v>
      </c>
      <c r="L351" s="4" t="str" cm="1">
        <f t="array" ref="L351">_xlfn.IFS(K351&gt;=50, "Senior", K351&gt;=30, "Adult", K351&lt;30, "Young Adult")</f>
        <v>Adult</v>
      </c>
      <c r="M351" s="4" t="s">
        <v>8</v>
      </c>
      <c r="N351" s="4">
        <v>3</v>
      </c>
      <c r="O351" s="5">
        <v>30</v>
      </c>
      <c r="P351">
        <f>N351*O351</f>
        <v>90</v>
      </c>
      <c r="Q351">
        <f>(P351*$U$4)</f>
        <v>1.3499999999999999</v>
      </c>
    </row>
    <row r="352" spans="1:17">
      <c r="A352" s="2">
        <v>352</v>
      </c>
      <c r="B352" s="4">
        <f>YEAR(H352)</f>
        <v>2023</v>
      </c>
      <c r="C352" s="4">
        <f>MONTH(H352)</f>
        <v>6</v>
      </c>
      <c r="D352" s="4">
        <f>DAY(H352)</f>
        <v>11</v>
      </c>
      <c r="E352" s="4" t="str">
        <f>TEXT(H352,"dddd")</f>
        <v>Sunday</v>
      </c>
      <c r="F352" s="4" t="str">
        <f t="shared" si="6"/>
        <v>June</v>
      </c>
      <c r="G352" s="4"/>
      <c r="H352" s="3">
        <v>45088</v>
      </c>
      <c r="I352" s="4" t="s">
        <v>386</v>
      </c>
      <c r="J352" s="4" t="s">
        <v>27</v>
      </c>
      <c r="K352" s="4">
        <v>49</v>
      </c>
      <c r="L352" s="4" t="str" cm="1">
        <f t="array" ref="L352">_xlfn.IFS(K352&gt;=50, "Senior", K352&gt;=30, "Adult", K352&lt;30, "Young Adult")</f>
        <v>Adult</v>
      </c>
      <c r="M352" s="4" t="s">
        <v>10</v>
      </c>
      <c r="N352" s="4">
        <v>2</v>
      </c>
      <c r="O352" s="5">
        <v>500</v>
      </c>
      <c r="P352">
        <f>N352*O352</f>
        <v>1000</v>
      </c>
      <c r="Q352">
        <f>(P352*$U$4)</f>
        <v>15</v>
      </c>
    </row>
    <row r="353" spans="1:17">
      <c r="A353" s="2">
        <v>353</v>
      </c>
      <c r="B353" s="4">
        <f>YEAR(H353)</f>
        <v>2023</v>
      </c>
      <c r="C353" s="4">
        <f>MONTH(H353)</f>
        <v>5</v>
      </c>
      <c r="D353" s="4">
        <f>DAY(H353)</f>
        <v>14</v>
      </c>
      <c r="E353" s="4" t="str">
        <f>TEXT(H353,"dddd")</f>
        <v>Sunday</v>
      </c>
      <c r="F353" s="4" t="str">
        <f t="shared" si="6"/>
        <v>May</v>
      </c>
      <c r="G353" s="4"/>
      <c r="H353" s="3">
        <v>45060</v>
      </c>
      <c r="I353" s="4" t="s">
        <v>387</v>
      </c>
      <c r="J353" s="4" t="s">
        <v>27</v>
      </c>
      <c r="K353" s="4">
        <v>49</v>
      </c>
      <c r="L353" s="4" t="str" cm="1">
        <f t="array" ref="L353">_xlfn.IFS(K353&gt;=50, "Senior", K353&gt;=30, "Adult", K353&lt;30, "Young Adult")</f>
        <v>Adult</v>
      </c>
      <c r="M353" s="4" t="s">
        <v>10</v>
      </c>
      <c r="N353" s="4">
        <v>1</v>
      </c>
      <c r="O353" s="5">
        <v>500</v>
      </c>
      <c r="P353">
        <f>N353*O353</f>
        <v>500</v>
      </c>
      <c r="Q353">
        <f>(P353*$U$4)</f>
        <v>7.5</v>
      </c>
    </row>
    <row r="354" spans="1:17">
      <c r="A354" s="2">
        <v>354</v>
      </c>
      <c r="B354" s="4">
        <f>YEAR(H354)</f>
        <v>2023</v>
      </c>
      <c r="C354" s="4">
        <f>MONTH(H354)</f>
        <v>4</v>
      </c>
      <c r="D354" s="4">
        <f>DAY(H354)</f>
        <v>15</v>
      </c>
      <c r="E354" s="4" t="str">
        <f>TEXT(H354,"dddd")</f>
        <v>Saturday</v>
      </c>
      <c r="F354" s="4" t="str">
        <f t="shared" si="6"/>
        <v>April</v>
      </c>
      <c r="G354" s="4"/>
      <c r="H354" s="3">
        <v>45031</v>
      </c>
      <c r="I354" s="4" t="s">
        <v>388</v>
      </c>
      <c r="J354" s="4" t="s">
        <v>29</v>
      </c>
      <c r="K354" s="4">
        <v>49</v>
      </c>
      <c r="L354" s="4" t="str" cm="1">
        <f t="array" ref="L354">_xlfn.IFS(K354&gt;=50, "Senior", K354&gt;=30, "Adult", K354&lt;30, "Young Adult")</f>
        <v>Adult</v>
      </c>
      <c r="M354" s="4" t="s">
        <v>3</v>
      </c>
      <c r="N354" s="4">
        <v>4</v>
      </c>
      <c r="O354" s="5">
        <v>50</v>
      </c>
      <c r="P354">
        <f>N354*O354</f>
        <v>200</v>
      </c>
      <c r="Q354">
        <f>(P354*$U$4)</f>
        <v>3</v>
      </c>
    </row>
    <row r="355" spans="1:17">
      <c r="A355" s="2">
        <v>355</v>
      </c>
      <c r="B355" s="4">
        <f>YEAR(H355)</f>
        <v>2023</v>
      </c>
      <c r="C355" s="4">
        <f>MONTH(H355)</f>
        <v>12</v>
      </c>
      <c r="D355" s="4">
        <f>DAY(H355)</f>
        <v>9</v>
      </c>
      <c r="E355" s="4" t="str">
        <f>TEXT(H355,"dddd")</f>
        <v>Saturday</v>
      </c>
      <c r="F355" s="4" t="str">
        <f t="shared" si="6"/>
        <v>December</v>
      </c>
      <c r="G355" s="4"/>
      <c r="H355" s="3">
        <v>45269</v>
      </c>
      <c r="I355" s="4" t="s">
        <v>389</v>
      </c>
      <c r="J355" s="4" t="s">
        <v>29</v>
      </c>
      <c r="K355" s="4">
        <v>49</v>
      </c>
      <c r="L355" s="4" t="str" cm="1">
        <f t="array" ref="L355">_xlfn.IFS(K355&gt;=50, "Senior", K355&gt;=30, "Adult", K355&lt;30, "Young Adult")</f>
        <v>Adult</v>
      </c>
      <c r="M355" s="4" t="s">
        <v>10</v>
      </c>
      <c r="N355" s="4">
        <v>1</v>
      </c>
      <c r="O355" s="5">
        <v>500</v>
      </c>
      <c r="P355">
        <f>N355*O355</f>
        <v>500</v>
      </c>
      <c r="Q355">
        <f>(P355*$U$4)</f>
        <v>7.5</v>
      </c>
    </row>
    <row r="356" spans="1:17">
      <c r="A356" s="2">
        <v>356</v>
      </c>
      <c r="B356" s="4">
        <f>YEAR(H356)</f>
        <v>2023</v>
      </c>
      <c r="C356" s="4">
        <f>MONTH(H356)</f>
        <v>6</v>
      </c>
      <c r="D356" s="4">
        <f>DAY(H356)</f>
        <v>10</v>
      </c>
      <c r="E356" s="4" t="str">
        <f>TEXT(H356,"dddd")</f>
        <v>Saturday</v>
      </c>
      <c r="F356" s="4" t="str">
        <f t="shared" si="6"/>
        <v>June</v>
      </c>
      <c r="G356" s="4"/>
      <c r="H356" s="3">
        <v>45087</v>
      </c>
      <c r="I356" s="4" t="s">
        <v>390</v>
      </c>
      <c r="J356" s="4" t="s">
        <v>27</v>
      </c>
      <c r="K356" s="4">
        <v>48</v>
      </c>
      <c r="L356" s="4" t="str" cm="1">
        <f t="array" ref="L356">_xlfn.IFS(K356&gt;=50, "Senior", K356&gt;=30, "Adult", K356&lt;30, "Young Adult")</f>
        <v>Adult</v>
      </c>
      <c r="M356" s="4" t="s">
        <v>10</v>
      </c>
      <c r="N356" s="4">
        <v>3</v>
      </c>
      <c r="O356" s="5">
        <v>500</v>
      </c>
      <c r="P356">
        <f>N356*O356</f>
        <v>1500</v>
      </c>
      <c r="Q356">
        <f>(P356*$U$4)</f>
        <v>22.5</v>
      </c>
    </row>
    <row r="357" spans="1:17">
      <c r="A357" s="2">
        <v>357</v>
      </c>
      <c r="B357" s="4">
        <f>YEAR(H357)</f>
        <v>2023</v>
      </c>
      <c r="C357" s="4">
        <f>MONTH(H357)</f>
        <v>5</v>
      </c>
      <c r="D357" s="4">
        <f>DAY(H357)</f>
        <v>3</v>
      </c>
      <c r="E357" s="4" t="str">
        <f>TEXT(H357,"dddd")</f>
        <v>Wednesday</v>
      </c>
      <c r="F357" s="4" t="str">
        <f t="shared" si="6"/>
        <v>May</v>
      </c>
      <c r="G357" s="4"/>
      <c r="H357" s="3">
        <v>45049</v>
      </c>
      <c r="I357" s="4" t="s">
        <v>391</v>
      </c>
      <c r="J357" s="4" t="s">
        <v>29</v>
      </c>
      <c r="K357" s="4">
        <v>48</v>
      </c>
      <c r="L357" s="4" t="str" cm="1">
        <f t="array" ref="L357">_xlfn.IFS(K357&gt;=50, "Senior", K357&gt;=30, "Adult", K357&lt;30, "Young Adult")</f>
        <v>Adult</v>
      </c>
      <c r="M357" s="4" t="s">
        <v>10</v>
      </c>
      <c r="N357" s="4">
        <v>3</v>
      </c>
      <c r="O357" s="5">
        <v>25</v>
      </c>
      <c r="P357">
        <f>N357*O357</f>
        <v>75</v>
      </c>
      <c r="Q357">
        <f>(P357*$U$4)</f>
        <v>1.125</v>
      </c>
    </row>
    <row r="358" spans="1:17">
      <c r="A358" s="2">
        <v>358</v>
      </c>
      <c r="B358" s="4">
        <f>YEAR(H358)</f>
        <v>2023</v>
      </c>
      <c r="C358" s="4">
        <f>MONTH(H358)</f>
        <v>5</v>
      </c>
      <c r="D358" s="4">
        <f>DAY(H358)</f>
        <v>16</v>
      </c>
      <c r="E358" s="4" t="str">
        <f>TEXT(H358,"dddd")</f>
        <v>Tuesday</v>
      </c>
      <c r="F358" s="4" t="str">
        <f t="shared" si="6"/>
        <v>May</v>
      </c>
      <c r="G358" s="4"/>
      <c r="H358" s="3">
        <v>45062</v>
      </c>
      <c r="I358" s="4" t="s">
        <v>392</v>
      </c>
      <c r="J358" s="4" t="s">
        <v>29</v>
      </c>
      <c r="K358" s="4">
        <v>48</v>
      </c>
      <c r="L358" s="4" t="str" cm="1">
        <f t="array" ref="L358">_xlfn.IFS(K358&gt;=50, "Senior", K358&gt;=30, "Adult", K358&lt;30, "Young Adult")</f>
        <v>Adult</v>
      </c>
      <c r="M358" s="4" t="s">
        <v>3</v>
      </c>
      <c r="N358" s="4">
        <v>1</v>
      </c>
      <c r="O358" s="5">
        <v>300</v>
      </c>
      <c r="P358">
        <f>N358*O358</f>
        <v>300</v>
      </c>
      <c r="Q358">
        <f>(P358*$U$4)</f>
        <v>4.5</v>
      </c>
    </row>
    <row r="359" spans="1:17">
      <c r="A359" s="2">
        <v>359</v>
      </c>
      <c r="B359" s="4">
        <f>YEAR(H359)</f>
        <v>2023</v>
      </c>
      <c r="C359" s="4">
        <f>MONTH(H359)</f>
        <v>7</v>
      </c>
      <c r="D359" s="4">
        <f>DAY(H359)</f>
        <v>22</v>
      </c>
      <c r="E359" s="4" t="str">
        <f>TEXT(H359,"dddd")</f>
        <v>Saturday</v>
      </c>
      <c r="F359" s="4" t="str">
        <f t="shared" si="6"/>
        <v>July</v>
      </c>
      <c r="G359" s="4"/>
      <c r="H359" s="3">
        <v>45129</v>
      </c>
      <c r="I359" s="4" t="s">
        <v>393</v>
      </c>
      <c r="J359" s="4" t="s">
        <v>27</v>
      </c>
      <c r="K359" s="4">
        <v>48</v>
      </c>
      <c r="L359" s="4" t="str" cm="1">
        <f t="array" ref="L359">_xlfn.IFS(K359&gt;=50, "Senior", K359&gt;=30, "Adult", K359&lt;30, "Young Adult")</f>
        <v>Adult</v>
      </c>
      <c r="M359" s="4" t="s">
        <v>8</v>
      </c>
      <c r="N359" s="4">
        <v>1</v>
      </c>
      <c r="O359" s="5">
        <v>50</v>
      </c>
      <c r="P359">
        <f>N359*O359</f>
        <v>50</v>
      </c>
      <c r="Q359">
        <f>(P359*$U$4)</f>
        <v>0.75</v>
      </c>
    </row>
    <row r="360" spans="1:17">
      <c r="A360" s="2">
        <v>360</v>
      </c>
      <c r="B360" s="4">
        <f>YEAR(H360)</f>
        <v>2023</v>
      </c>
      <c r="C360" s="4">
        <f>MONTH(H360)</f>
        <v>3</v>
      </c>
      <c r="D360" s="4">
        <f>DAY(H360)</f>
        <v>9</v>
      </c>
      <c r="E360" s="4" t="str">
        <f>TEXT(H360,"dddd")</f>
        <v>Thursday</v>
      </c>
      <c r="F360" s="4" t="str">
        <f t="shared" si="6"/>
        <v>March</v>
      </c>
      <c r="G360" s="4"/>
      <c r="H360" s="3">
        <v>44994</v>
      </c>
      <c r="I360" s="4" t="s">
        <v>394</v>
      </c>
      <c r="J360" s="4" t="s">
        <v>27</v>
      </c>
      <c r="K360" s="4">
        <v>48</v>
      </c>
      <c r="L360" s="4" t="str" cm="1">
        <f t="array" ref="L360">_xlfn.IFS(K360&gt;=50, "Senior", K360&gt;=30, "Adult", K360&lt;30, "Young Adult")</f>
        <v>Adult</v>
      </c>
      <c r="M360" s="4" t="s">
        <v>8</v>
      </c>
      <c r="N360" s="4">
        <v>4</v>
      </c>
      <c r="O360" s="5">
        <v>25</v>
      </c>
      <c r="P360">
        <f>N360*O360</f>
        <v>100</v>
      </c>
      <c r="Q360">
        <f>(P360*$U$4)</f>
        <v>1.5</v>
      </c>
    </row>
    <row r="361" spans="1:17">
      <c r="A361" s="2">
        <v>361</v>
      </c>
      <c r="B361" s="4">
        <f>YEAR(H361)</f>
        <v>2023</v>
      </c>
      <c r="C361" s="4">
        <f>MONTH(H361)</f>
        <v>12</v>
      </c>
      <c r="D361" s="4">
        <f>DAY(H361)</f>
        <v>10</v>
      </c>
      <c r="E361" s="4" t="str">
        <f>TEXT(H361,"dddd")</f>
        <v>Sunday</v>
      </c>
      <c r="F361" s="4" t="str">
        <f t="shared" si="6"/>
        <v>December</v>
      </c>
      <c r="G361" s="4"/>
      <c r="H361" s="3">
        <v>45270</v>
      </c>
      <c r="I361" s="4" t="s">
        <v>395</v>
      </c>
      <c r="J361" s="4" t="s">
        <v>29</v>
      </c>
      <c r="K361" s="4">
        <v>48</v>
      </c>
      <c r="L361" s="4" t="str" cm="1">
        <f t="array" ref="L361">_xlfn.IFS(K361&gt;=50, "Senior", K361&gt;=30, "Adult", K361&lt;30, "Young Adult")</f>
        <v>Adult</v>
      </c>
      <c r="M361" s="4" t="s">
        <v>10</v>
      </c>
      <c r="N361" s="4">
        <v>4</v>
      </c>
      <c r="O361" s="5">
        <v>300</v>
      </c>
      <c r="P361">
        <f>N361*O361</f>
        <v>1200</v>
      </c>
      <c r="Q361">
        <f>(P361*$U$4)</f>
        <v>18</v>
      </c>
    </row>
    <row r="362" spans="1:17">
      <c r="A362" s="2">
        <v>362</v>
      </c>
      <c r="B362" s="4">
        <f>YEAR(H362)</f>
        <v>2023</v>
      </c>
      <c r="C362" s="4">
        <f>MONTH(H362)</f>
        <v>11</v>
      </c>
      <c r="D362" s="4">
        <f>DAY(H362)</f>
        <v>27</v>
      </c>
      <c r="E362" s="4" t="str">
        <f>TEXT(H362,"dddd")</f>
        <v>Monday</v>
      </c>
      <c r="F362" s="4" t="str">
        <f t="shared" si="6"/>
        <v>November</v>
      </c>
      <c r="G362" s="4"/>
      <c r="H362" s="3">
        <v>45257</v>
      </c>
      <c r="I362" s="4" t="s">
        <v>396</v>
      </c>
      <c r="J362" s="4" t="s">
        <v>27</v>
      </c>
      <c r="K362" s="4">
        <v>48</v>
      </c>
      <c r="L362" s="4" t="str" cm="1">
        <f t="array" ref="L362">_xlfn.IFS(K362&gt;=50, "Senior", K362&gt;=30, "Adult", K362&lt;30, "Young Adult")</f>
        <v>Adult</v>
      </c>
      <c r="M362" s="4" t="s">
        <v>8</v>
      </c>
      <c r="N362" s="4">
        <v>1</v>
      </c>
      <c r="O362" s="5">
        <v>25</v>
      </c>
      <c r="P362">
        <f>N362*O362</f>
        <v>25</v>
      </c>
      <c r="Q362">
        <f>(P362*$U$4)</f>
        <v>0.375</v>
      </c>
    </row>
    <row r="363" spans="1:17">
      <c r="A363" s="2">
        <v>363</v>
      </c>
      <c r="B363" s="4">
        <f>YEAR(H363)</f>
        <v>2023</v>
      </c>
      <c r="C363" s="4">
        <f>MONTH(H363)</f>
        <v>6</v>
      </c>
      <c r="D363" s="4">
        <f>DAY(H363)</f>
        <v>3</v>
      </c>
      <c r="E363" s="4" t="str">
        <f>TEXT(H363,"dddd")</f>
        <v>Saturday</v>
      </c>
      <c r="F363" s="4" t="str">
        <f t="shared" si="6"/>
        <v>June</v>
      </c>
      <c r="G363" s="4"/>
      <c r="H363" s="3">
        <v>45080</v>
      </c>
      <c r="I363" s="4" t="s">
        <v>397</v>
      </c>
      <c r="J363" s="4" t="s">
        <v>27</v>
      </c>
      <c r="K363" s="4">
        <v>48</v>
      </c>
      <c r="L363" s="4" t="str" cm="1">
        <f t="array" ref="L363">_xlfn.IFS(K363&gt;=50, "Senior", K363&gt;=30, "Adult", K363&lt;30, "Young Adult")</f>
        <v>Adult</v>
      </c>
      <c r="M363" s="4" t="s">
        <v>3</v>
      </c>
      <c r="N363" s="4">
        <v>1</v>
      </c>
      <c r="O363" s="5">
        <v>25</v>
      </c>
      <c r="P363">
        <f>N363*O363</f>
        <v>25</v>
      </c>
      <c r="Q363">
        <f>(P363*$U$4)</f>
        <v>0.375</v>
      </c>
    </row>
    <row r="364" spans="1:17">
      <c r="A364" s="2">
        <v>364</v>
      </c>
      <c r="B364" s="4">
        <f>YEAR(H364)</f>
        <v>2023</v>
      </c>
      <c r="C364" s="4">
        <f>MONTH(H364)</f>
        <v>8</v>
      </c>
      <c r="D364" s="4">
        <f>DAY(H364)</f>
        <v>23</v>
      </c>
      <c r="E364" s="4" t="str">
        <f>TEXT(H364,"dddd")</f>
        <v>Wednesday</v>
      </c>
      <c r="F364" s="4" t="str">
        <f t="shared" si="6"/>
        <v>August</v>
      </c>
      <c r="G364" s="4"/>
      <c r="H364" s="3">
        <v>45161</v>
      </c>
      <c r="I364" s="4" t="s">
        <v>398</v>
      </c>
      <c r="J364" s="4" t="s">
        <v>29</v>
      </c>
      <c r="K364" s="4">
        <v>48</v>
      </c>
      <c r="L364" s="4" t="str" cm="1">
        <f t="array" ref="L364">_xlfn.IFS(K364&gt;=50, "Senior", K364&gt;=30, "Adult", K364&lt;30, "Young Adult")</f>
        <v>Adult</v>
      </c>
      <c r="M364" s="4" t="s">
        <v>3</v>
      </c>
      <c r="N364" s="4">
        <v>1</v>
      </c>
      <c r="O364" s="5">
        <v>500</v>
      </c>
      <c r="P364">
        <f>N364*O364</f>
        <v>500</v>
      </c>
      <c r="Q364">
        <f>(P364*$U$4)</f>
        <v>7.5</v>
      </c>
    </row>
    <row r="365" spans="1:17">
      <c r="A365" s="2">
        <v>365</v>
      </c>
      <c r="B365" s="4">
        <f>YEAR(H365)</f>
        <v>2023</v>
      </c>
      <c r="C365" s="4">
        <f>MONTH(H365)</f>
        <v>6</v>
      </c>
      <c r="D365" s="4">
        <f>DAY(H365)</f>
        <v>11</v>
      </c>
      <c r="E365" s="4" t="str">
        <f>TEXT(H365,"dddd")</f>
        <v>Sunday</v>
      </c>
      <c r="F365" s="4" t="str">
        <f t="shared" si="6"/>
        <v>June</v>
      </c>
      <c r="G365" s="4"/>
      <c r="H365" s="3">
        <v>45088</v>
      </c>
      <c r="I365" s="4" t="s">
        <v>399</v>
      </c>
      <c r="J365" s="4" t="s">
        <v>27</v>
      </c>
      <c r="K365" s="4">
        <v>48</v>
      </c>
      <c r="L365" s="4" t="str" cm="1">
        <f t="array" ref="L365">_xlfn.IFS(K365&gt;=50, "Senior", K365&gt;=30, "Adult", K365&lt;30, "Young Adult")</f>
        <v>Adult</v>
      </c>
      <c r="M365" s="4" t="s">
        <v>8</v>
      </c>
      <c r="N365" s="4">
        <v>1</v>
      </c>
      <c r="O365" s="5">
        <v>300</v>
      </c>
      <c r="P365">
        <f>N365*O365</f>
        <v>300</v>
      </c>
      <c r="Q365">
        <f>(P365*$U$4)</f>
        <v>4.5</v>
      </c>
    </row>
    <row r="366" spans="1:17">
      <c r="A366" s="2">
        <v>366</v>
      </c>
      <c r="B366" s="4">
        <f>YEAR(H366)</f>
        <v>2023</v>
      </c>
      <c r="C366" s="4">
        <f>MONTH(H366)</f>
        <v>2</v>
      </c>
      <c r="D366" s="4">
        <f>DAY(H366)</f>
        <v>7</v>
      </c>
      <c r="E366" s="4" t="str">
        <f>TEXT(H366,"dddd")</f>
        <v>Tuesday</v>
      </c>
      <c r="F366" s="4" t="str">
        <f t="shared" si="6"/>
        <v>February</v>
      </c>
      <c r="G366" s="4"/>
      <c r="H366" s="3">
        <v>44964</v>
      </c>
      <c r="I366" s="4" t="s">
        <v>400</v>
      </c>
      <c r="J366" s="4" t="s">
        <v>27</v>
      </c>
      <c r="K366" s="4">
        <v>48</v>
      </c>
      <c r="L366" s="4" t="str" cm="1">
        <f t="array" ref="L366">_xlfn.IFS(K366&gt;=50, "Senior", K366&gt;=30, "Adult", K366&lt;30, "Young Adult")</f>
        <v>Adult</v>
      </c>
      <c r="M366" s="4" t="s">
        <v>8</v>
      </c>
      <c r="N366" s="4">
        <v>2</v>
      </c>
      <c r="O366" s="5">
        <v>50</v>
      </c>
      <c r="P366">
        <f>N366*O366</f>
        <v>100</v>
      </c>
      <c r="Q366">
        <f>(P366*$U$4)</f>
        <v>1.5</v>
      </c>
    </row>
    <row r="367" spans="1:17">
      <c r="A367" s="2">
        <v>367</v>
      </c>
      <c r="B367" s="4">
        <f>YEAR(H367)</f>
        <v>2023</v>
      </c>
      <c r="C367" s="4">
        <f>MONTH(H367)</f>
        <v>1</v>
      </c>
      <c r="D367" s="4">
        <f>DAY(H367)</f>
        <v>5</v>
      </c>
      <c r="E367" s="4" t="str">
        <f>TEXT(H367,"dddd")</f>
        <v>Thursday</v>
      </c>
      <c r="F367" s="4" t="str">
        <f t="shared" si="6"/>
        <v>January</v>
      </c>
      <c r="G367" s="4"/>
      <c r="H367" s="3">
        <v>44931</v>
      </c>
      <c r="I367" s="4" t="s">
        <v>401</v>
      </c>
      <c r="J367" s="4" t="s">
        <v>29</v>
      </c>
      <c r="K367" s="4">
        <v>48</v>
      </c>
      <c r="L367" s="4" t="str" cm="1">
        <f t="array" ref="L367">_xlfn.IFS(K367&gt;=50, "Senior", K367&gt;=30, "Adult", K367&lt;30, "Young Adult")</f>
        <v>Adult</v>
      </c>
      <c r="M367" s="4" t="s">
        <v>10</v>
      </c>
      <c r="N367" s="4">
        <v>1</v>
      </c>
      <c r="O367" s="5">
        <v>50</v>
      </c>
      <c r="P367">
        <f>N367*O367</f>
        <v>50</v>
      </c>
      <c r="Q367">
        <f>(P367*$U$4)</f>
        <v>0.75</v>
      </c>
    </row>
    <row r="368" spans="1:17">
      <c r="A368" s="2">
        <v>368</v>
      </c>
      <c r="B368" s="4">
        <f>YEAR(H368)</f>
        <v>2023</v>
      </c>
      <c r="C368" s="4">
        <f>MONTH(H368)</f>
        <v>8</v>
      </c>
      <c r="D368" s="4">
        <f>DAY(H368)</f>
        <v>23</v>
      </c>
      <c r="E368" s="4" t="str">
        <f>TEXT(H368,"dddd")</f>
        <v>Wednesday</v>
      </c>
      <c r="F368" s="4" t="str">
        <f t="shared" si="6"/>
        <v>August</v>
      </c>
      <c r="G368" s="4"/>
      <c r="H368" s="3">
        <v>45161</v>
      </c>
      <c r="I368" s="4" t="s">
        <v>402</v>
      </c>
      <c r="J368" s="4" t="s">
        <v>29</v>
      </c>
      <c r="K368" s="4">
        <v>48</v>
      </c>
      <c r="L368" s="4" t="str" cm="1">
        <f t="array" ref="L368">_xlfn.IFS(K368&gt;=50, "Senior", K368&gt;=30, "Adult", K368&lt;30, "Young Adult")</f>
        <v>Adult</v>
      </c>
      <c r="M368" s="4" t="s">
        <v>8</v>
      </c>
      <c r="N368" s="4">
        <v>4</v>
      </c>
      <c r="O368" s="5">
        <v>300</v>
      </c>
      <c r="P368">
        <f>N368*O368</f>
        <v>1200</v>
      </c>
      <c r="Q368">
        <f>(P368*$U$4)</f>
        <v>18</v>
      </c>
    </row>
    <row r="369" spans="1:17">
      <c r="A369" s="2">
        <v>369</v>
      </c>
      <c r="B369" s="4">
        <f>YEAR(H369)</f>
        <v>2023</v>
      </c>
      <c r="C369" s="4">
        <f>MONTH(H369)</f>
        <v>11</v>
      </c>
      <c r="D369" s="4">
        <f>DAY(H369)</f>
        <v>15</v>
      </c>
      <c r="E369" s="4" t="str">
        <f>TEXT(H369,"dddd")</f>
        <v>Wednesday</v>
      </c>
      <c r="F369" s="4" t="str">
        <f t="shared" si="6"/>
        <v>November</v>
      </c>
      <c r="G369" s="4"/>
      <c r="H369" s="3">
        <v>45245</v>
      </c>
      <c r="I369" s="4" t="s">
        <v>403</v>
      </c>
      <c r="J369" s="4" t="s">
        <v>27</v>
      </c>
      <c r="K369" s="4">
        <v>48</v>
      </c>
      <c r="L369" s="4" t="str" cm="1">
        <f t="array" ref="L369">_xlfn.IFS(K369&gt;=50, "Senior", K369&gt;=30, "Adult", K369&lt;30, "Young Adult")</f>
        <v>Adult</v>
      </c>
      <c r="M369" s="4" t="s">
        <v>10</v>
      </c>
      <c r="N369" s="4">
        <v>3</v>
      </c>
      <c r="O369" s="5">
        <v>500</v>
      </c>
      <c r="P369">
        <f>N369*O369</f>
        <v>1500</v>
      </c>
      <c r="Q369">
        <f>(P369*$U$4)</f>
        <v>22.5</v>
      </c>
    </row>
    <row r="370" spans="1:17">
      <c r="A370" s="2">
        <v>370</v>
      </c>
      <c r="B370" s="4">
        <f>YEAR(H370)</f>
        <v>2023</v>
      </c>
      <c r="C370" s="4">
        <f>MONTH(H370)</f>
        <v>10</v>
      </c>
      <c r="D370" s="4">
        <f>DAY(H370)</f>
        <v>16</v>
      </c>
      <c r="E370" s="4" t="str">
        <f>TEXT(H370,"dddd")</f>
        <v>Monday</v>
      </c>
      <c r="F370" s="4" t="str">
        <f t="shared" si="6"/>
        <v>October</v>
      </c>
      <c r="G370" s="4"/>
      <c r="H370" s="3">
        <v>45215</v>
      </c>
      <c r="I370" s="4" t="s">
        <v>404</v>
      </c>
      <c r="J370" s="4" t="s">
        <v>27</v>
      </c>
      <c r="K370" s="4">
        <v>48</v>
      </c>
      <c r="L370" s="4" t="str" cm="1">
        <f t="array" ref="L370">_xlfn.IFS(K370&gt;=50, "Senior", K370&gt;=30, "Adult", K370&lt;30, "Young Adult")</f>
        <v>Adult</v>
      </c>
      <c r="M370" s="4" t="s">
        <v>10</v>
      </c>
      <c r="N370" s="4">
        <v>2</v>
      </c>
      <c r="O370" s="5">
        <v>30</v>
      </c>
      <c r="P370">
        <f>N370*O370</f>
        <v>60</v>
      </c>
      <c r="Q370">
        <f>(P370*$U$4)</f>
        <v>0.89999999999999991</v>
      </c>
    </row>
    <row r="371" spans="1:17">
      <c r="A371" s="2">
        <v>371</v>
      </c>
      <c r="B371" s="4">
        <f>YEAR(H371)</f>
        <v>2023</v>
      </c>
      <c r="C371" s="4">
        <f>MONTH(H371)</f>
        <v>2</v>
      </c>
      <c r="D371" s="4">
        <f>DAY(H371)</f>
        <v>21</v>
      </c>
      <c r="E371" s="4" t="str">
        <f>TEXT(H371,"dddd")</f>
        <v>Tuesday</v>
      </c>
      <c r="F371" s="4" t="str">
        <f t="shared" si="6"/>
        <v>February</v>
      </c>
      <c r="G371" s="4"/>
      <c r="H371" s="3">
        <v>44978</v>
      </c>
      <c r="I371" s="4" t="s">
        <v>405</v>
      </c>
      <c r="J371" s="4" t="s">
        <v>29</v>
      </c>
      <c r="K371" s="4">
        <v>48</v>
      </c>
      <c r="L371" s="4" t="str" cm="1">
        <f t="array" ref="L371">_xlfn.IFS(K371&gt;=50, "Senior", K371&gt;=30, "Adult", K371&lt;30, "Young Adult")</f>
        <v>Adult</v>
      </c>
      <c r="M371" s="4" t="s">
        <v>3</v>
      </c>
      <c r="N371" s="4">
        <v>1</v>
      </c>
      <c r="O371" s="5">
        <v>25</v>
      </c>
      <c r="P371">
        <f>N371*O371</f>
        <v>25</v>
      </c>
      <c r="Q371">
        <f>(P371*$U$4)</f>
        <v>0.375</v>
      </c>
    </row>
    <row r="372" spans="1:17">
      <c r="A372" s="2">
        <v>372</v>
      </c>
      <c r="B372" s="4">
        <f>YEAR(H372)</f>
        <v>2023</v>
      </c>
      <c r="C372" s="4">
        <f>MONTH(H372)</f>
        <v>2</v>
      </c>
      <c r="D372" s="4">
        <f>DAY(H372)</f>
        <v>7</v>
      </c>
      <c r="E372" s="4" t="str">
        <f>TEXT(H372,"dddd")</f>
        <v>Tuesday</v>
      </c>
      <c r="F372" s="4" t="str">
        <f t="shared" si="6"/>
        <v>February</v>
      </c>
      <c r="G372" s="4"/>
      <c r="H372" s="3">
        <v>44964</v>
      </c>
      <c r="I372" s="4" t="s">
        <v>406</v>
      </c>
      <c r="J372" s="4" t="s">
        <v>29</v>
      </c>
      <c r="K372" s="4">
        <v>48</v>
      </c>
      <c r="L372" s="4" t="str" cm="1">
        <f t="array" ref="L372">_xlfn.IFS(K372&gt;=50, "Senior", K372&gt;=30, "Adult", K372&lt;30, "Young Adult")</f>
        <v>Adult</v>
      </c>
      <c r="M372" s="4" t="s">
        <v>3</v>
      </c>
      <c r="N372" s="4">
        <v>3</v>
      </c>
      <c r="O372" s="5">
        <v>500</v>
      </c>
      <c r="P372">
        <f>N372*O372</f>
        <v>1500</v>
      </c>
      <c r="Q372">
        <f>(P372*$U$4)</f>
        <v>22.5</v>
      </c>
    </row>
    <row r="373" spans="1:17">
      <c r="A373" s="2">
        <v>373</v>
      </c>
      <c r="B373" s="4">
        <f>YEAR(H373)</f>
        <v>2023</v>
      </c>
      <c r="C373" s="4">
        <f>MONTH(H373)</f>
        <v>10</v>
      </c>
      <c r="D373" s="4">
        <f>DAY(H373)</f>
        <v>3</v>
      </c>
      <c r="E373" s="4" t="str">
        <f>TEXT(H373,"dddd")</f>
        <v>Tuesday</v>
      </c>
      <c r="F373" s="4" t="str">
        <f t="shared" si="6"/>
        <v>October</v>
      </c>
      <c r="G373" s="4"/>
      <c r="H373" s="3">
        <v>45202</v>
      </c>
      <c r="I373" s="4" t="s">
        <v>407</v>
      </c>
      <c r="J373" s="4" t="s">
        <v>29</v>
      </c>
      <c r="K373" s="4">
        <v>48</v>
      </c>
      <c r="L373" s="4" t="str" cm="1">
        <f t="array" ref="L373">_xlfn.IFS(K373&gt;=50, "Senior", K373&gt;=30, "Adult", K373&lt;30, "Young Adult")</f>
        <v>Adult</v>
      </c>
      <c r="M373" s="4" t="s">
        <v>3</v>
      </c>
      <c r="N373" s="4">
        <v>2</v>
      </c>
      <c r="O373" s="5">
        <v>300</v>
      </c>
      <c r="P373">
        <f>N373*O373</f>
        <v>600</v>
      </c>
      <c r="Q373">
        <f>(P373*$U$4)</f>
        <v>9</v>
      </c>
    </row>
    <row r="374" spans="1:17">
      <c r="A374" s="2">
        <v>374</v>
      </c>
      <c r="B374" s="4">
        <f>YEAR(H374)</f>
        <v>2023</v>
      </c>
      <c r="C374" s="4">
        <f>MONTH(H374)</f>
        <v>4</v>
      </c>
      <c r="D374" s="4">
        <f>DAY(H374)</f>
        <v>20</v>
      </c>
      <c r="E374" s="4" t="str">
        <f>TEXT(H374,"dddd")</f>
        <v>Thursday</v>
      </c>
      <c r="F374" s="4" t="str">
        <f t="shared" si="6"/>
        <v>April</v>
      </c>
      <c r="G374" s="4"/>
      <c r="H374" s="3">
        <v>45036</v>
      </c>
      <c r="I374" s="4" t="s">
        <v>408</v>
      </c>
      <c r="J374" s="4" t="s">
        <v>29</v>
      </c>
      <c r="K374" s="4">
        <v>47</v>
      </c>
      <c r="L374" s="4" t="str" cm="1">
        <f t="array" ref="L374">_xlfn.IFS(K374&gt;=50, "Senior", K374&gt;=30, "Adult", K374&lt;30, "Young Adult")</f>
        <v>Adult</v>
      </c>
      <c r="M374" s="4" t="s">
        <v>3</v>
      </c>
      <c r="N374" s="4">
        <v>3</v>
      </c>
      <c r="O374" s="5">
        <v>25</v>
      </c>
      <c r="P374">
        <f>N374*O374</f>
        <v>75</v>
      </c>
      <c r="Q374">
        <f>(P374*$U$4)</f>
        <v>1.125</v>
      </c>
    </row>
    <row r="375" spans="1:17">
      <c r="A375" s="2">
        <v>375</v>
      </c>
      <c r="B375" s="4">
        <f>YEAR(H375)</f>
        <v>2023</v>
      </c>
      <c r="C375" s="4">
        <f>MONTH(H375)</f>
        <v>9</v>
      </c>
      <c r="D375" s="4">
        <f>DAY(H375)</f>
        <v>17</v>
      </c>
      <c r="E375" s="4" t="str">
        <f>TEXT(H375,"dddd")</f>
        <v>Sunday</v>
      </c>
      <c r="F375" s="4" t="str">
        <f t="shared" si="6"/>
        <v>September</v>
      </c>
      <c r="G375" s="4"/>
      <c r="H375" s="3">
        <v>45186</v>
      </c>
      <c r="I375" s="4" t="s">
        <v>409</v>
      </c>
      <c r="J375" s="4" t="s">
        <v>27</v>
      </c>
      <c r="K375" s="4">
        <v>47</v>
      </c>
      <c r="L375" s="4" t="str" cm="1">
        <f t="array" ref="L375">_xlfn.IFS(K375&gt;=50, "Senior", K375&gt;=30, "Adult", K375&lt;30, "Young Adult")</f>
        <v>Adult</v>
      </c>
      <c r="M375" s="4" t="s">
        <v>8</v>
      </c>
      <c r="N375" s="4">
        <v>1</v>
      </c>
      <c r="O375" s="5">
        <v>50</v>
      </c>
      <c r="P375">
        <f>N375*O375</f>
        <v>50</v>
      </c>
      <c r="Q375">
        <f>(P375*$U$4)</f>
        <v>0.75</v>
      </c>
    </row>
    <row r="376" spans="1:17">
      <c r="A376" s="2">
        <v>376</v>
      </c>
      <c r="B376" s="4">
        <f>YEAR(H376)</f>
        <v>2023</v>
      </c>
      <c r="C376" s="4">
        <f>MONTH(H376)</f>
        <v>5</v>
      </c>
      <c r="D376" s="4">
        <f>DAY(H376)</f>
        <v>16</v>
      </c>
      <c r="E376" s="4" t="str">
        <f>TEXT(H376,"dddd")</f>
        <v>Tuesday</v>
      </c>
      <c r="F376" s="4" t="str">
        <f t="shared" si="6"/>
        <v>May</v>
      </c>
      <c r="G376" s="4"/>
      <c r="H376" s="3">
        <v>45062</v>
      </c>
      <c r="I376" s="4" t="s">
        <v>410</v>
      </c>
      <c r="J376" s="4" t="s">
        <v>29</v>
      </c>
      <c r="K376" s="4">
        <v>47</v>
      </c>
      <c r="L376" s="4" t="str" cm="1">
        <f t="array" ref="L376">_xlfn.IFS(K376&gt;=50, "Senior", K376&gt;=30, "Adult", K376&lt;30, "Young Adult")</f>
        <v>Adult</v>
      </c>
      <c r="M376" s="4" t="s">
        <v>3</v>
      </c>
      <c r="N376" s="4">
        <v>1</v>
      </c>
      <c r="O376" s="5">
        <v>30</v>
      </c>
      <c r="P376">
        <f>N376*O376</f>
        <v>30</v>
      </c>
      <c r="Q376">
        <f>(P376*$U$4)</f>
        <v>0.44999999999999996</v>
      </c>
    </row>
    <row r="377" spans="1:17">
      <c r="A377" s="2">
        <v>377</v>
      </c>
      <c r="B377" s="4">
        <f>YEAR(H377)</f>
        <v>2023</v>
      </c>
      <c r="C377" s="4">
        <f>MONTH(H377)</f>
        <v>3</v>
      </c>
      <c r="D377" s="4">
        <f>DAY(H377)</f>
        <v>9</v>
      </c>
      <c r="E377" s="4" t="str">
        <f>TEXT(H377,"dddd")</f>
        <v>Thursday</v>
      </c>
      <c r="F377" s="4" t="str">
        <f t="shared" si="6"/>
        <v>March</v>
      </c>
      <c r="G377" s="4"/>
      <c r="H377" s="3">
        <v>44994</v>
      </c>
      <c r="I377" s="4" t="s">
        <v>411</v>
      </c>
      <c r="J377" s="4" t="s">
        <v>29</v>
      </c>
      <c r="K377" s="4">
        <v>47</v>
      </c>
      <c r="L377" s="4" t="str" cm="1">
        <f t="array" ref="L377">_xlfn.IFS(K377&gt;=50, "Senior", K377&gt;=30, "Adult", K377&lt;30, "Young Adult")</f>
        <v>Adult</v>
      </c>
      <c r="M377" s="4" t="s">
        <v>8</v>
      </c>
      <c r="N377" s="4">
        <v>4</v>
      </c>
      <c r="O377" s="5">
        <v>50</v>
      </c>
      <c r="P377">
        <f>N377*O377</f>
        <v>200</v>
      </c>
      <c r="Q377">
        <f>(P377*$U$4)</f>
        <v>3</v>
      </c>
    </row>
    <row r="378" spans="1:17">
      <c r="A378" s="2">
        <v>378</v>
      </c>
      <c r="B378" s="4">
        <f>YEAR(H378)</f>
        <v>2023</v>
      </c>
      <c r="C378" s="4">
        <f>MONTH(H378)</f>
        <v>6</v>
      </c>
      <c r="D378" s="4">
        <f>DAY(H378)</f>
        <v>28</v>
      </c>
      <c r="E378" s="4" t="str">
        <f>TEXT(H378,"dddd")</f>
        <v>Wednesday</v>
      </c>
      <c r="F378" s="4" t="str">
        <f t="shared" si="6"/>
        <v>June</v>
      </c>
      <c r="G378" s="4"/>
      <c r="H378" s="3">
        <v>45105</v>
      </c>
      <c r="I378" s="4" t="s">
        <v>412</v>
      </c>
      <c r="J378" s="4" t="s">
        <v>27</v>
      </c>
      <c r="K378" s="4">
        <v>47</v>
      </c>
      <c r="L378" s="4" t="str" cm="1">
        <f t="array" ref="L378">_xlfn.IFS(K378&gt;=50, "Senior", K378&gt;=30, "Adult", K378&lt;30, "Young Adult")</f>
        <v>Adult</v>
      </c>
      <c r="M378" s="4" t="s">
        <v>3</v>
      </c>
      <c r="N378" s="4">
        <v>1</v>
      </c>
      <c r="O378" s="5">
        <v>300</v>
      </c>
      <c r="P378">
        <f>N378*O378</f>
        <v>300</v>
      </c>
      <c r="Q378">
        <f>(P378*$U$4)</f>
        <v>4.5</v>
      </c>
    </row>
    <row r="379" spans="1:17">
      <c r="A379" s="2">
        <v>379</v>
      </c>
      <c r="B379" s="4">
        <f>YEAR(H379)</f>
        <v>2023</v>
      </c>
      <c r="C379" s="4">
        <f>MONTH(H379)</f>
        <v>2</v>
      </c>
      <c r="D379" s="4">
        <f>DAY(H379)</f>
        <v>5</v>
      </c>
      <c r="E379" s="4" t="str">
        <f>TEXT(H379,"dddd")</f>
        <v>Sunday</v>
      </c>
      <c r="F379" s="4" t="str">
        <f t="shared" si="6"/>
        <v>February</v>
      </c>
      <c r="G379" s="4"/>
      <c r="H379" s="3">
        <v>44962</v>
      </c>
      <c r="I379" s="4" t="s">
        <v>413</v>
      </c>
      <c r="J379" s="4" t="s">
        <v>29</v>
      </c>
      <c r="K379" s="4">
        <v>47</v>
      </c>
      <c r="L379" s="4" t="str" cm="1">
        <f t="array" ref="L379">_xlfn.IFS(K379&gt;=50, "Senior", K379&gt;=30, "Adult", K379&lt;30, "Young Adult")</f>
        <v>Adult</v>
      </c>
      <c r="M379" s="4" t="s">
        <v>8</v>
      </c>
      <c r="N379" s="4">
        <v>1</v>
      </c>
      <c r="O379" s="5">
        <v>25</v>
      </c>
      <c r="P379">
        <f>N379*O379</f>
        <v>25</v>
      </c>
      <c r="Q379">
        <f>(P379*$U$4)</f>
        <v>0.375</v>
      </c>
    </row>
    <row r="380" spans="1:17">
      <c r="A380" s="2">
        <v>380</v>
      </c>
      <c r="B380" s="4">
        <f>YEAR(H380)</f>
        <v>2023</v>
      </c>
      <c r="C380" s="4">
        <f>MONTH(H380)</f>
        <v>5</v>
      </c>
      <c r="D380" s="4">
        <f>DAY(H380)</f>
        <v>6</v>
      </c>
      <c r="E380" s="4" t="str">
        <f>TEXT(H380,"dddd")</f>
        <v>Saturday</v>
      </c>
      <c r="F380" s="4" t="str">
        <f t="shared" si="6"/>
        <v>May</v>
      </c>
      <c r="G380" s="4"/>
      <c r="H380" s="3">
        <v>45052</v>
      </c>
      <c r="I380" s="4" t="s">
        <v>414</v>
      </c>
      <c r="J380" s="4" t="s">
        <v>27</v>
      </c>
      <c r="K380" s="4">
        <v>47</v>
      </c>
      <c r="L380" s="4" t="str" cm="1">
        <f t="array" ref="L380">_xlfn.IFS(K380&gt;=50, "Senior", K380&gt;=30, "Adult", K380&lt;30, "Young Adult")</f>
        <v>Adult</v>
      </c>
      <c r="M380" s="4" t="s">
        <v>10</v>
      </c>
      <c r="N380" s="4">
        <v>2</v>
      </c>
      <c r="O380" s="5">
        <v>300</v>
      </c>
      <c r="P380">
        <f>N380*O380</f>
        <v>600</v>
      </c>
      <c r="Q380">
        <f>(P380*$U$4)</f>
        <v>9</v>
      </c>
    </row>
    <row r="381" spans="1:17">
      <c r="A381" s="2">
        <v>381</v>
      </c>
      <c r="B381" s="4">
        <f>YEAR(H381)</f>
        <v>2023</v>
      </c>
      <c r="C381" s="4">
        <f>MONTH(H381)</f>
        <v>7</v>
      </c>
      <c r="D381" s="4">
        <f>DAY(H381)</f>
        <v>9</v>
      </c>
      <c r="E381" s="4" t="str">
        <f>TEXT(H381,"dddd")</f>
        <v>Sunday</v>
      </c>
      <c r="F381" s="4" t="str">
        <f t="shared" si="6"/>
        <v>July</v>
      </c>
      <c r="G381" s="4"/>
      <c r="H381" s="3">
        <v>45116</v>
      </c>
      <c r="I381" s="4" t="s">
        <v>415</v>
      </c>
      <c r="J381" s="4" t="s">
        <v>29</v>
      </c>
      <c r="K381" s="4">
        <v>47</v>
      </c>
      <c r="L381" s="4" t="str" cm="1">
        <f t="array" ref="L381">_xlfn.IFS(K381&gt;=50, "Senior", K381&gt;=30, "Adult", K381&lt;30, "Young Adult")</f>
        <v>Adult</v>
      </c>
      <c r="M381" s="4" t="s">
        <v>8</v>
      </c>
      <c r="N381" s="4">
        <v>4</v>
      </c>
      <c r="O381" s="5">
        <v>25</v>
      </c>
      <c r="P381">
        <f>N381*O381</f>
        <v>100</v>
      </c>
      <c r="Q381">
        <f>(P381*$U$4)</f>
        <v>1.5</v>
      </c>
    </row>
    <row r="382" spans="1:17">
      <c r="A382" s="2">
        <v>382</v>
      </c>
      <c r="B382" s="4">
        <f>YEAR(H382)</f>
        <v>2023</v>
      </c>
      <c r="C382" s="4">
        <f>MONTH(H382)</f>
        <v>5</v>
      </c>
      <c r="D382" s="4">
        <f>DAY(H382)</f>
        <v>26</v>
      </c>
      <c r="E382" s="4" t="str">
        <f>TEXT(H382,"dddd")</f>
        <v>Friday</v>
      </c>
      <c r="F382" s="4" t="str">
        <f t="shared" si="6"/>
        <v>May</v>
      </c>
      <c r="G382" s="4"/>
      <c r="H382" s="3">
        <v>45072</v>
      </c>
      <c r="I382" s="4" t="s">
        <v>416</v>
      </c>
      <c r="J382" s="4" t="s">
        <v>29</v>
      </c>
      <c r="K382" s="4">
        <v>47</v>
      </c>
      <c r="L382" s="4" t="str" cm="1">
        <f t="array" ref="L382">_xlfn.IFS(K382&gt;=50, "Senior", K382&gt;=30, "Adult", K382&lt;30, "Young Adult")</f>
        <v>Adult</v>
      </c>
      <c r="M382" s="4" t="s">
        <v>8</v>
      </c>
      <c r="N382" s="4">
        <v>2</v>
      </c>
      <c r="O382" s="5">
        <v>500</v>
      </c>
      <c r="P382">
        <f>N382*O382</f>
        <v>1000</v>
      </c>
      <c r="Q382">
        <f>(P382*$U$4)</f>
        <v>15</v>
      </c>
    </row>
    <row r="383" spans="1:17">
      <c r="A383" s="2">
        <v>383</v>
      </c>
      <c r="B383" s="4">
        <f>YEAR(H383)</f>
        <v>2023</v>
      </c>
      <c r="C383" s="4">
        <f>MONTH(H383)</f>
        <v>3</v>
      </c>
      <c r="D383" s="4">
        <f>DAY(H383)</f>
        <v>22</v>
      </c>
      <c r="E383" s="4" t="str">
        <f>TEXT(H383,"dddd")</f>
        <v>Wednesday</v>
      </c>
      <c r="F383" s="4" t="str">
        <f t="shared" si="6"/>
        <v>March</v>
      </c>
      <c r="G383" s="4"/>
      <c r="H383" s="3">
        <v>45007</v>
      </c>
      <c r="I383" s="4" t="s">
        <v>417</v>
      </c>
      <c r="J383" s="4" t="s">
        <v>29</v>
      </c>
      <c r="K383" s="4">
        <v>47</v>
      </c>
      <c r="L383" s="4" t="str" cm="1">
        <f t="array" ref="L383">_xlfn.IFS(K383&gt;=50, "Senior", K383&gt;=30, "Adult", K383&lt;30, "Young Adult")</f>
        <v>Adult</v>
      </c>
      <c r="M383" s="4" t="s">
        <v>3</v>
      </c>
      <c r="N383" s="4">
        <v>3</v>
      </c>
      <c r="O383" s="5">
        <v>30</v>
      </c>
      <c r="P383">
        <f>N383*O383</f>
        <v>90</v>
      </c>
      <c r="Q383">
        <f>(P383*$U$4)</f>
        <v>1.3499999999999999</v>
      </c>
    </row>
    <row r="384" spans="1:17">
      <c r="A384" s="2">
        <v>384</v>
      </c>
      <c r="B384" s="4">
        <f>YEAR(H384)</f>
        <v>2023</v>
      </c>
      <c r="C384" s="4">
        <f>MONTH(H384)</f>
        <v>8</v>
      </c>
      <c r="D384" s="4">
        <f>DAY(H384)</f>
        <v>13</v>
      </c>
      <c r="E384" s="4" t="str">
        <f>TEXT(H384,"dddd")</f>
        <v>Sunday</v>
      </c>
      <c r="F384" s="4" t="str">
        <f t="shared" si="6"/>
        <v>August</v>
      </c>
      <c r="G384" s="4"/>
      <c r="H384" s="3">
        <v>45151</v>
      </c>
      <c r="I384" s="4" t="s">
        <v>418</v>
      </c>
      <c r="J384" s="4" t="s">
        <v>27</v>
      </c>
      <c r="K384" s="4">
        <v>47</v>
      </c>
      <c r="L384" s="4" t="str" cm="1">
        <f t="array" ref="L384">_xlfn.IFS(K384&gt;=50, "Senior", K384&gt;=30, "Adult", K384&lt;30, "Young Adult")</f>
        <v>Adult</v>
      </c>
      <c r="M384" s="4" t="s">
        <v>8</v>
      </c>
      <c r="N384" s="4">
        <v>1</v>
      </c>
      <c r="O384" s="5">
        <v>500</v>
      </c>
      <c r="P384">
        <f>N384*O384</f>
        <v>500</v>
      </c>
      <c r="Q384">
        <f>(P384*$U$4)</f>
        <v>7.5</v>
      </c>
    </row>
    <row r="385" spans="1:17">
      <c r="A385" s="2">
        <v>385</v>
      </c>
      <c r="B385" s="4">
        <f>YEAR(H385)</f>
        <v>2023</v>
      </c>
      <c r="C385" s="4">
        <f>MONTH(H385)</f>
        <v>10</v>
      </c>
      <c r="D385" s="4">
        <f>DAY(H385)</f>
        <v>6</v>
      </c>
      <c r="E385" s="4" t="str">
        <f>TEXT(H385,"dddd")</f>
        <v>Friday</v>
      </c>
      <c r="F385" s="4" t="str">
        <f t="shared" si="6"/>
        <v>October</v>
      </c>
      <c r="G385" s="4"/>
      <c r="H385" s="3">
        <v>45205</v>
      </c>
      <c r="I385" s="4" t="s">
        <v>419</v>
      </c>
      <c r="J385" s="4" t="s">
        <v>27</v>
      </c>
      <c r="K385" s="4">
        <v>47</v>
      </c>
      <c r="L385" s="4" t="str" cm="1">
        <f t="array" ref="L385">_xlfn.IFS(K385&gt;=50, "Senior", K385&gt;=30, "Adult", K385&lt;30, "Young Adult")</f>
        <v>Adult</v>
      </c>
      <c r="M385" s="4" t="s">
        <v>10</v>
      </c>
      <c r="N385" s="4">
        <v>3</v>
      </c>
      <c r="O385" s="5">
        <v>500</v>
      </c>
      <c r="P385">
        <f>N385*O385</f>
        <v>1500</v>
      </c>
      <c r="Q385">
        <f>(P385*$U$4)</f>
        <v>22.5</v>
      </c>
    </row>
    <row r="386" spans="1:17">
      <c r="A386" s="2">
        <v>386</v>
      </c>
      <c r="B386" s="4">
        <f>YEAR(H386)</f>
        <v>2023</v>
      </c>
      <c r="C386" s="4">
        <f>MONTH(H386)</f>
        <v>12</v>
      </c>
      <c r="D386" s="4">
        <f>DAY(H386)</f>
        <v>27</v>
      </c>
      <c r="E386" s="4" t="str">
        <f>TEXT(H386,"dddd")</f>
        <v>Wednesday</v>
      </c>
      <c r="F386" s="4" t="str">
        <f t="shared" si="6"/>
        <v>December</v>
      </c>
      <c r="G386" s="4"/>
      <c r="H386" s="3">
        <v>45287</v>
      </c>
      <c r="I386" s="4" t="s">
        <v>420</v>
      </c>
      <c r="J386" s="4" t="s">
        <v>29</v>
      </c>
      <c r="K386" s="4">
        <v>47</v>
      </c>
      <c r="L386" s="4" t="str" cm="1">
        <f t="array" ref="L386">_xlfn.IFS(K386&gt;=50, "Senior", K386&gt;=30, "Adult", K386&lt;30, "Young Adult")</f>
        <v>Adult</v>
      </c>
      <c r="M386" s="4" t="s">
        <v>10</v>
      </c>
      <c r="N386" s="4">
        <v>2</v>
      </c>
      <c r="O386" s="5">
        <v>300</v>
      </c>
      <c r="P386">
        <f>N386*O386</f>
        <v>600</v>
      </c>
      <c r="Q386">
        <f>(P386*$U$4)</f>
        <v>9</v>
      </c>
    </row>
    <row r="387" spans="1:17">
      <c r="A387" s="2">
        <v>387</v>
      </c>
      <c r="B387" s="4">
        <f>YEAR(H387)</f>
        <v>2023</v>
      </c>
      <c r="C387" s="4">
        <f>MONTH(H387)</f>
        <v>6</v>
      </c>
      <c r="D387" s="4">
        <f>DAY(H387)</f>
        <v>4</v>
      </c>
      <c r="E387" s="4" t="str">
        <f>TEXT(H387,"dddd")</f>
        <v>Sunday</v>
      </c>
      <c r="F387" s="4" t="str">
        <f t="shared" ref="F387:F450" si="7">TEXT(H387,"mmmm")</f>
        <v>June</v>
      </c>
      <c r="G387" s="4"/>
      <c r="H387" s="3">
        <v>45081</v>
      </c>
      <c r="I387" s="4" t="s">
        <v>421</v>
      </c>
      <c r="J387" s="4" t="s">
        <v>27</v>
      </c>
      <c r="K387" s="4">
        <v>47</v>
      </c>
      <c r="L387" s="4" t="str" cm="1">
        <f t="array" ref="L387">_xlfn.IFS(K387&gt;=50, "Senior", K387&gt;=30, "Adult", K387&lt;30, "Young Adult")</f>
        <v>Adult</v>
      </c>
      <c r="M387" s="4" t="s">
        <v>3</v>
      </c>
      <c r="N387" s="4">
        <v>1</v>
      </c>
      <c r="O387" s="5">
        <v>30</v>
      </c>
      <c r="P387">
        <f>N387*O387</f>
        <v>30</v>
      </c>
      <c r="Q387">
        <f>(P387*$U$4)</f>
        <v>0.44999999999999996</v>
      </c>
    </row>
    <row r="388" spans="1:17">
      <c r="A388" s="2">
        <v>388</v>
      </c>
      <c r="B388" s="4">
        <f>YEAR(H388)</f>
        <v>2023</v>
      </c>
      <c r="C388" s="4">
        <f>MONTH(H388)</f>
        <v>11</v>
      </c>
      <c r="D388" s="4">
        <f>DAY(H388)</f>
        <v>10</v>
      </c>
      <c r="E388" s="4" t="str">
        <f>TEXT(H388,"dddd")</f>
        <v>Friday</v>
      </c>
      <c r="F388" s="4" t="str">
        <f t="shared" si="7"/>
        <v>November</v>
      </c>
      <c r="G388" s="4"/>
      <c r="H388" s="3">
        <v>45240</v>
      </c>
      <c r="I388" s="4" t="s">
        <v>422</v>
      </c>
      <c r="J388" s="4" t="s">
        <v>27</v>
      </c>
      <c r="K388" s="4">
        <v>47</v>
      </c>
      <c r="L388" s="4" t="str" cm="1">
        <f t="array" ref="L388">_xlfn.IFS(K388&gt;=50, "Senior", K388&gt;=30, "Adult", K388&lt;30, "Young Adult")</f>
        <v>Adult</v>
      </c>
      <c r="M388" s="4" t="s">
        <v>10</v>
      </c>
      <c r="N388" s="4">
        <v>1</v>
      </c>
      <c r="O388" s="5">
        <v>25</v>
      </c>
      <c r="P388">
        <f>N388*O388</f>
        <v>25</v>
      </c>
      <c r="Q388">
        <f>(P388*$U$4)</f>
        <v>0.375</v>
      </c>
    </row>
    <row r="389" spans="1:17">
      <c r="A389" s="2">
        <v>389</v>
      </c>
      <c r="B389" s="4">
        <f>YEAR(H389)</f>
        <v>2023</v>
      </c>
      <c r="C389" s="4">
        <f>MONTH(H389)</f>
        <v>12</v>
      </c>
      <c r="D389" s="4">
        <f>DAY(H389)</f>
        <v>1</v>
      </c>
      <c r="E389" s="4" t="str">
        <f>TEXT(H389,"dddd")</f>
        <v>Friday</v>
      </c>
      <c r="F389" s="4" t="str">
        <f t="shared" si="7"/>
        <v>December</v>
      </c>
      <c r="G389" s="4"/>
      <c r="H389" s="3">
        <v>45261</v>
      </c>
      <c r="I389" s="4" t="s">
        <v>423</v>
      </c>
      <c r="J389" s="4" t="s">
        <v>27</v>
      </c>
      <c r="K389" s="4">
        <v>47</v>
      </c>
      <c r="L389" s="4" t="str" cm="1">
        <f t="array" ref="L389">_xlfn.IFS(K389&gt;=50, "Senior", K389&gt;=30, "Adult", K389&lt;30, "Young Adult")</f>
        <v>Adult</v>
      </c>
      <c r="M389" s="4" t="s">
        <v>8</v>
      </c>
      <c r="N389" s="4">
        <v>2</v>
      </c>
      <c r="O389" s="5">
        <v>25</v>
      </c>
      <c r="P389">
        <f>N389*O389</f>
        <v>50</v>
      </c>
      <c r="Q389">
        <f>(P389*$U$4)</f>
        <v>0.75</v>
      </c>
    </row>
    <row r="390" spans="1:17">
      <c r="A390" s="2">
        <v>390</v>
      </c>
      <c r="B390" s="4">
        <f>YEAR(H390)</f>
        <v>2023</v>
      </c>
      <c r="C390" s="4">
        <f>MONTH(H390)</f>
        <v>9</v>
      </c>
      <c r="D390" s="4">
        <f>DAY(H390)</f>
        <v>28</v>
      </c>
      <c r="E390" s="4" t="str">
        <f>TEXT(H390,"dddd")</f>
        <v>Thursday</v>
      </c>
      <c r="F390" s="4" t="str">
        <f t="shared" si="7"/>
        <v>September</v>
      </c>
      <c r="G390" s="4"/>
      <c r="H390" s="3">
        <v>45197</v>
      </c>
      <c r="I390" s="4" t="s">
        <v>424</v>
      </c>
      <c r="J390" s="4" t="s">
        <v>27</v>
      </c>
      <c r="K390" s="4">
        <v>47</v>
      </c>
      <c r="L390" s="4" t="str" cm="1">
        <f t="array" ref="L390">_xlfn.IFS(K390&gt;=50, "Senior", K390&gt;=30, "Adult", K390&lt;30, "Young Adult")</f>
        <v>Adult</v>
      </c>
      <c r="M390" s="4" t="s">
        <v>10</v>
      </c>
      <c r="N390" s="4">
        <v>2</v>
      </c>
      <c r="O390" s="5">
        <v>50</v>
      </c>
      <c r="P390">
        <f>N390*O390</f>
        <v>100</v>
      </c>
      <c r="Q390">
        <f>(P390*$U$4)</f>
        <v>1.5</v>
      </c>
    </row>
    <row r="391" spans="1:17">
      <c r="A391" s="2">
        <v>391</v>
      </c>
      <c r="B391" s="4">
        <f>YEAR(H391)</f>
        <v>2023</v>
      </c>
      <c r="C391" s="4">
        <f>MONTH(H391)</f>
        <v>1</v>
      </c>
      <c r="D391" s="4">
        <f>DAY(H391)</f>
        <v>5</v>
      </c>
      <c r="E391" s="4" t="str">
        <f>TEXT(H391,"dddd")</f>
        <v>Thursday</v>
      </c>
      <c r="F391" s="4" t="str">
        <f t="shared" si="7"/>
        <v>January</v>
      </c>
      <c r="G391" s="4"/>
      <c r="H391" s="3">
        <v>44931</v>
      </c>
      <c r="I391" s="4" t="s">
        <v>425</v>
      </c>
      <c r="J391" s="4" t="s">
        <v>27</v>
      </c>
      <c r="K391" s="4">
        <v>47</v>
      </c>
      <c r="L391" s="4" t="str" cm="1">
        <f t="array" ref="L391">_xlfn.IFS(K391&gt;=50, "Senior", K391&gt;=30, "Adult", K391&lt;30, "Young Adult")</f>
        <v>Adult</v>
      </c>
      <c r="M391" s="4" t="s">
        <v>3</v>
      </c>
      <c r="N391" s="4">
        <v>2</v>
      </c>
      <c r="O391" s="5">
        <v>25</v>
      </c>
      <c r="P391">
        <f>N391*O391</f>
        <v>50</v>
      </c>
      <c r="Q391">
        <f>(P391*$U$4)</f>
        <v>0.75</v>
      </c>
    </row>
    <row r="392" spans="1:17">
      <c r="A392" s="2">
        <v>392</v>
      </c>
      <c r="B392" s="4">
        <f>YEAR(H392)</f>
        <v>2023</v>
      </c>
      <c r="C392" s="4">
        <f>MONTH(H392)</f>
        <v>12</v>
      </c>
      <c r="D392" s="4">
        <f>DAY(H392)</f>
        <v>8</v>
      </c>
      <c r="E392" s="4" t="str">
        <f>TEXT(H392,"dddd")</f>
        <v>Friday</v>
      </c>
      <c r="F392" s="4" t="str">
        <f t="shared" si="7"/>
        <v>December</v>
      </c>
      <c r="G392" s="4"/>
      <c r="H392" s="3">
        <v>45268</v>
      </c>
      <c r="I392" s="4" t="s">
        <v>426</v>
      </c>
      <c r="J392" s="4" t="s">
        <v>27</v>
      </c>
      <c r="K392" s="4">
        <v>47</v>
      </c>
      <c r="L392" s="4" t="str" cm="1">
        <f t="array" ref="L392">_xlfn.IFS(K392&gt;=50, "Senior", K392&gt;=30, "Adult", K392&lt;30, "Young Adult")</f>
        <v>Adult</v>
      </c>
      <c r="M392" s="4" t="s">
        <v>8</v>
      </c>
      <c r="N392" s="4">
        <v>2</v>
      </c>
      <c r="O392" s="5">
        <v>300</v>
      </c>
      <c r="P392">
        <f>N392*O392</f>
        <v>600</v>
      </c>
      <c r="Q392">
        <f>(P392*$U$4)</f>
        <v>9</v>
      </c>
    </row>
    <row r="393" spans="1:17">
      <c r="A393" s="2">
        <v>393</v>
      </c>
      <c r="B393" s="4">
        <f>YEAR(H393)</f>
        <v>2023</v>
      </c>
      <c r="C393" s="4">
        <f>MONTH(H393)</f>
        <v>10</v>
      </c>
      <c r="D393" s="4">
        <f>DAY(H393)</f>
        <v>11</v>
      </c>
      <c r="E393" s="4" t="str">
        <f>TEXT(H393,"dddd")</f>
        <v>Wednesday</v>
      </c>
      <c r="F393" s="4" t="str">
        <f t="shared" si="7"/>
        <v>October</v>
      </c>
      <c r="G393" s="4"/>
      <c r="H393" s="3">
        <v>45210</v>
      </c>
      <c r="I393" s="4" t="s">
        <v>427</v>
      </c>
      <c r="J393" s="4" t="s">
        <v>29</v>
      </c>
      <c r="K393" s="4">
        <v>47</v>
      </c>
      <c r="L393" s="4" t="str" cm="1">
        <f t="array" ref="L393">_xlfn.IFS(K393&gt;=50, "Senior", K393&gt;=30, "Adult", K393&lt;30, "Young Adult")</f>
        <v>Adult</v>
      </c>
      <c r="M393" s="4" t="s">
        <v>3</v>
      </c>
      <c r="N393" s="4">
        <v>2</v>
      </c>
      <c r="O393" s="5">
        <v>500</v>
      </c>
      <c r="P393">
        <f>N393*O393</f>
        <v>1000</v>
      </c>
      <c r="Q393">
        <f>(P393*$U$4)</f>
        <v>15</v>
      </c>
    </row>
    <row r="394" spans="1:17">
      <c r="A394" s="2">
        <v>394</v>
      </c>
      <c r="B394" s="4">
        <f>YEAR(H394)</f>
        <v>2023</v>
      </c>
      <c r="C394" s="4">
        <f>MONTH(H394)</f>
        <v>6</v>
      </c>
      <c r="D394" s="4">
        <f>DAY(H394)</f>
        <v>3</v>
      </c>
      <c r="E394" s="4" t="str">
        <f>TEXT(H394,"dddd")</f>
        <v>Saturday</v>
      </c>
      <c r="F394" s="4" t="str">
        <f t="shared" si="7"/>
        <v>June</v>
      </c>
      <c r="G394" s="4"/>
      <c r="H394" s="3">
        <v>45080</v>
      </c>
      <c r="I394" s="4" t="s">
        <v>428</v>
      </c>
      <c r="J394" s="4" t="s">
        <v>29</v>
      </c>
      <c r="K394" s="4">
        <v>47</v>
      </c>
      <c r="L394" s="4" t="str" cm="1">
        <f t="array" ref="L394">_xlfn.IFS(K394&gt;=50, "Senior", K394&gt;=30, "Adult", K394&lt;30, "Young Adult")</f>
        <v>Adult</v>
      </c>
      <c r="M394" s="4" t="s">
        <v>8</v>
      </c>
      <c r="N394" s="4">
        <v>1</v>
      </c>
      <c r="O394" s="5">
        <v>500</v>
      </c>
      <c r="P394">
        <f>N394*O394</f>
        <v>500</v>
      </c>
      <c r="Q394">
        <f>(P394*$U$4)</f>
        <v>7.5</v>
      </c>
    </row>
    <row r="395" spans="1:17">
      <c r="A395" s="2">
        <v>395</v>
      </c>
      <c r="B395" s="4">
        <f>YEAR(H395)</f>
        <v>2023</v>
      </c>
      <c r="C395" s="4">
        <f>MONTH(H395)</f>
        <v>12</v>
      </c>
      <c r="D395" s="4">
        <f>DAY(H395)</f>
        <v>6</v>
      </c>
      <c r="E395" s="4" t="str">
        <f>TEXT(H395,"dddd")</f>
        <v>Wednesday</v>
      </c>
      <c r="F395" s="4" t="str">
        <f t="shared" si="7"/>
        <v>December</v>
      </c>
      <c r="G395" s="4"/>
      <c r="H395" s="3">
        <v>45266</v>
      </c>
      <c r="I395" s="4" t="s">
        <v>429</v>
      </c>
      <c r="J395" s="4" t="s">
        <v>27</v>
      </c>
      <c r="K395" s="4">
        <v>47</v>
      </c>
      <c r="L395" s="4" t="str" cm="1">
        <f t="array" ref="L395">_xlfn.IFS(K395&gt;=50, "Senior", K395&gt;=30, "Adult", K395&lt;30, "Young Adult")</f>
        <v>Adult</v>
      </c>
      <c r="M395" s="4" t="s">
        <v>10</v>
      </c>
      <c r="N395" s="4">
        <v>2</v>
      </c>
      <c r="O395" s="5">
        <v>500</v>
      </c>
      <c r="P395">
        <f>N395*O395</f>
        <v>1000</v>
      </c>
      <c r="Q395">
        <f>(P395*$U$4)</f>
        <v>15</v>
      </c>
    </row>
    <row r="396" spans="1:17">
      <c r="A396" s="2">
        <v>396</v>
      </c>
      <c r="B396" s="4">
        <f>YEAR(H396)</f>
        <v>2023</v>
      </c>
      <c r="C396" s="4">
        <f>MONTH(H396)</f>
        <v>2</v>
      </c>
      <c r="D396" s="4">
        <f>DAY(H396)</f>
        <v>23</v>
      </c>
      <c r="E396" s="4" t="str">
        <f>TEXT(H396,"dddd")</f>
        <v>Thursday</v>
      </c>
      <c r="F396" s="4" t="str">
        <f t="shared" si="7"/>
        <v>February</v>
      </c>
      <c r="G396" s="4"/>
      <c r="H396" s="3">
        <v>44980</v>
      </c>
      <c r="I396" s="4" t="s">
        <v>430</v>
      </c>
      <c r="J396" s="4" t="s">
        <v>29</v>
      </c>
      <c r="K396" s="4">
        <v>47</v>
      </c>
      <c r="L396" s="4" t="str" cm="1">
        <f t="array" ref="L396">_xlfn.IFS(K396&gt;=50, "Senior", K396&gt;=30, "Adult", K396&lt;30, "Young Adult")</f>
        <v>Adult</v>
      </c>
      <c r="M396" s="4" t="s">
        <v>3</v>
      </c>
      <c r="N396" s="4">
        <v>1</v>
      </c>
      <c r="O396" s="5">
        <v>30</v>
      </c>
      <c r="P396">
        <f>N396*O396</f>
        <v>30</v>
      </c>
      <c r="Q396">
        <f>(P396*$U$4)</f>
        <v>0.44999999999999996</v>
      </c>
    </row>
    <row r="397" spans="1:17">
      <c r="A397" s="2">
        <v>397</v>
      </c>
      <c r="B397" s="4">
        <f>YEAR(H397)</f>
        <v>2023</v>
      </c>
      <c r="C397" s="4">
        <f>MONTH(H397)</f>
        <v>3</v>
      </c>
      <c r="D397" s="4">
        <f>DAY(H397)</f>
        <v>10</v>
      </c>
      <c r="E397" s="4" t="str">
        <f>TEXT(H397,"dddd")</f>
        <v>Friday</v>
      </c>
      <c r="F397" s="4" t="str">
        <f t="shared" si="7"/>
        <v>March</v>
      </c>
      <c r="G397" s="4"/>
      <c r="H397" s="3">
        <v>44995</v>
      </c>
      <c r="I397" s="4" t="s">
        <v>431</v>
      </c>
      <c r="J397" s="4" t="s">
        <v>29</v>
      </c>
      <c r="K397" s="4">
        <v>47</v>
      </c>
      <c r="L397" s="4" t="str" cm="1">
        <f t="array" ref="L397">_xlfn.IFS(K397&gt;=50, "Senior", K397&gt;=30, "Adult", K397&lt;30, "Young Adult")</f>
        <v>Adult</v>
      </c>
      <c r="M397" s="4" t="s">
        <v>3</v>
      </c>
      <c r="N397" s="4">
        <v>1</v>
      </c>
      <c r="O397" s="5">
        <v>25</v>
      </c>
      <c r="P397">
        <f>N397*O397</f>
        <v>25</v>
      </c>
      <c r="Q397">
        <f>(P397*$U$4)</f>
        <v>0.375</v>
      </c>
    </row>
    <row r="398" spans="1:17">
      <c r="A398" s="2">
        <v>398</v>
      </c>
      <c r="B398" s="4">
        <f>YEAR(H398)</f>
        <v>2023</v>
      </c>
      <c r="C398" s="4">
        <f>MONTH(H398)</f>
        <v>5</v>
      </c>
      <c r="D398" s="4">
        <f>DAY(H398)</f>
        <v>16</v>
      </c>
      <c r="E398" s="4" t="str">
        <f>TEXT(H398,"dddd")</f>
        <v>Tuesday</v>
      </c>
      <c r="F398" s="4" t="str">
        <f t="shared" si="7"/>
        <v>May</v>
      </c>
      <c r="G398" s="4"/>
      <c r="H398" s="3">
        <v>45062</v>
      </c>
      <c r="I398" s="4" t="s">
        <v>432</v>
      </c>
      <c r="J398" s="4" t="s">
        <v>29</v>
      </c>
      <c r="K398" s="4">
        <v>47</v>
      </c>
      <c r="L398" s="4" t="str" cm="1">
        <f t="array" ref="L398">_xlfn.IFS(K398&gt;=50, "Senior", K398&gt;=30, "Adult", K398&lt;30, "Young Adult")</f>
        <v>Adult</v>
      </c>
      <c r="M398" s="4" t="s">
        <v>8</v>
      </c>
      <c r="N398" s="4">
        <v>2</v>
      </c>
      <c r="O398" s="5">
        <v>300</v>
      </c>
      <c r="P398">
        <f>N398*O398</f>
        <v>600</v>
      </c>
      <c r="Q398">
        <f>(P398*$U$4)</f>
        <v>9</v>
      </c>
    </row>
    <row r="399" spans="1:17">
      <c r="A399" s="2">
        <v>399</v>
      </c>
      <c r="B399" s="4">
        <f>YEAR(H399)</f>
        <v>2023</v>
      </c>
      <c r="C399" s="4">
        <f>MONTH(H399)</f>
        <v>3</v>
      </c>
      <c r="D399" s="4">
        <f>DAY(H399)</f>
        <v>1</v>
      </c>
      <c r="E399" s="4" t="str">
        <f>TEXT(H399,"dddd")</f>
        <v>Wednesday</v>
      </c>
      <c r="F399" s="4" t="str">
        <f t="shared" si="7"/>
        <v>March</v>
      </c>
      <c r="G399" s="4"/>
      <c r="H399" s="3">
        <v>44986</v>
      </c>
      <c r="I399" s="4" t="s">
        <v>433</v>
      </c>
      <c r="J399" s="4" t="s">
        <v>29</v>
      </c>
      <c r="K399" s="4">
        <v>47</v>
      </c>
      <c r="L399" s="4" t="str" cm="1">
        <f t="array" ref="L399">_xlfn.IFS(K399&gt;=50, "Senior", K399&gt;=30, "Adult", K399&lt;30, "Young Adult")</f>
        <v>Adult</v>
      </c>
      <c r="M399" s="4" t="s">
        <v>3</v>
      </c>
      <c r="N399" s="4">
        <v>2</v>
      </c>
      <c r="O399" s="5">
        <v>30</v>
      </c>
      <c r="P399">
        <f>N399*O399</f>
        <v>60</v>
      </c>
      <c r="Q399">
        <f>(P399*$U$4)</f>
        <v>0.89999999999999991</v>
      </c>
    </row>
    <row r="400" spans="1:17">
      <c r="A400" s="2">
        <v>400</v>
      </c>
      <c r="B400" s="4">
        <f>YEAR(H400)</f>
        <v>2023</v>
      </c>
      <c r="C400" s="4">
        <f>MONTH(H400)</f>
        <v>2</v>
      </c>
      <c r="D400" s="4">
        <f>DAY(H400)</f>
        <v>24</v>
      </c>
      <c r="E400" s="4" t="str">
        <f>TEXT(H400,"dddd")</f>
        <v>Friday</v>
      </c>
      <c r="F400" s="4" t="str">
        <f t="shared" si="7"/>
        <v>February</v>
      </c>
      <c r="G400" s="4"/>
      <c r="H400" s="3">
        <v>44981</v>
      </c>
      <c r="I400" s="4" t="s">
        <v>434</v>
      </c>
      <c r="J400" s="4" t="s">
        <v>27</v>
      </c>
      <c r="K400" s="4">
        <v>46</v>
      </c>
      <c r="L400" s="4" t="str" cm="1">
        <f t="array" ref="L400">_xlfn.IFS(K400&gt;=50, "Senior", K400&gt;=30, "Adult", K400&lt;30, "Young Adult")</f>
        <v>Adult</v>
      </c>
      <c r="M400" s="4" t="s">
        <v>8</v>
      </c>
      <c r="N400" s="4">
        <v>4</v>
      </c>
      <c r="O400" s="5">
        <v>50</v>
      </c>
      <c r="P400">
        <f>N400*O400</f>
        <v>200</v>
      </c>
      <c r="Q400">
        <f>(P400*$U$4)</f>
        <v>3</v>
      </c>
    </row>
    <row r="401" spans="1:17">
      <c r="A401" s="2">
        <v>401</v>
      </c>
      <c r="B401" s="4">
        <f>YEAR(H401)</f>
        <v>2023</v>
      </c>
      <c r="C401" s="4">
        <f>MONTH(H401)</f>
        <v>10</v>
      </c>
      <c r="D401" s="4">
        <f>DAY(H401)</f>
        <v>11</v>
      </c>
      <c r="E401" s="4" t="str">
        <f>TEXT(H401,"dddd")</f>
        <v>Wednesday</v>
      </c>
      <c r="F401" s="4" t="str">
        <f t="shared" si="7"/>
        <v>October</v>
      </c>
      <c r="G401" s="4"/>
      <c r="H401" s="3">
        <v>45210</v>
      </c>
      <c r="I401" s="4" t="s">
        <v>435</v>
      </c>
      <c r="J401" s="4" t="s">
        <v>29</v>
      </c>
      <c r="K401" s="4">
        <v>46</v>
      </c>
      <c r="L401" s="4" t="str" cm="1">
        <f t="array" ref="L401">_xlfn.IFS(K401&gt;=50, "Senior", K401&gt;=30, "Adult", K401&lt;30, "Young Adult")</f>
        <v>Adult</v>
      </c>
      <c r="M401" s="4" t="s">
        <v>8</v>
      </c>
      <c r="N401" s="4">
        <v>1</v>
      </c>
      <c r="O401" s="5">
        <v>300</v>
      </c>
      <c r="P401">
        <f>N401*O401</f>
        <v>300</v>
      </c>
      <c r="Q401">
        <f>(P401*$U$4)</f>
        <v>4.5</v>
      </c>
    </row>
    <row r="402" spans="1:17">
      <c r="A402" s="2">
        <v>402</v>
      </c>
      <c r="B402" s="4">
        <f>YEAR(H402)</f>
        <v>2023</v>
      </c>
      <c r="C402" s="4">
        <f>MONTH(H402)</f>
        <v>3</v>
      </c>
      <c r="D402" s="4">
        <f>DAY(H402)</f>
        <v>21</v>
      </c>
      <c r="E402" s="4" t="str">
        <f>TEXT(H402,"dddd")</f>
        <v>Tuesday</v>
      </c>
      <c r="F402" s="4" t="str">
        <f t="shared" si="7"/>
        <v>March</v>
      </c>
      <c r="G402" s="4"/>
      <c r="H402" s="3">
        <v>45006</v>
      </c>
      <c r="I402" s="4" t="s">
        <v>436</v>
      </c>
      <c r="J402" s="4" t="s">
        <v>29</v>
      </c>
      <c r="K402" s="4">
        <v>46</v>
      </c>
      <c r="L402" s="4" t="str" cm="1">
        <f t="array" ref="L402">_xlfn.IFS(K402&gt;=50, "Senior", K402&gt;=30, "Adult", K402&lt;30, "Young Adult")</f>
        <v>Adult</v>
      </c>
      <c r="M402" s="4" t="s">
        <v>8</v>
      </c>
      <c r="N402" s="4">
        <v>2</v>
      </c>
      <c r="O402" s="5">
        <v>300</v>
      </c>
      <c r="P402">
        <f>N402*O402</f>
        <v>600</v>
      </c>
      <c r="Q402">
        <f>(P402*$U$4)</f>
        <v>9</v>
      </c>
    </row>
    <row r="403" spans="1:17">
      <c r="A403" s="2">
        <v>403</v>
      </c>
      <c r="B403" s="4">
        <f>YEAR(H403)</f>
        <v>2023</v>
      </c>
      <c r="C403" s="4">
        <f>MONTH(H403)</f>
        <v>5</v>
      </c>
      <c r="D403" s="4">
        <f>DAY(H403)</f>
        <v>20</v>
      </c>
      <c r="E403" s="4" t="str">
        <f>TEXT(H403,"dddd")</f>
        <v>Saturday</v>
      </c>
      <c r="F403" s="4" t="str">
        <f t="shared" si="7"/>
        <v>May</v>
      </c>
      <c r="G403" s="4"/>
      <c r="H403" s="3">
        <v>45066</v>
      </c>
      <c r="I403" s="4" t="s">
        <v>437</v>
      </c>
      <c r="J403" s="4" t="s">
        <v>27</v>
      </c>
      <c r="K403" s="4">
        <v>46</v>
      </c>
      <c r="L403" s="4" t="str" cm="1">
        <f t="array" ref="L403">_xlfn.IFS(K403&gt;=50, "Senior", K403&gt;=30, "Adult", K403&lt;30, "Young Adult")</f>
        <v>Adult</v>
      </c>
      <c r="M403" s="4" t="s">
        <v>8</v>
      </c>
      <c r="N403" s="4">
        <v>2</v>
      </c>
      <c r="O403" s="5">
        <v>300</v>
      </c>
      <c r="P403">
        <f>N403*O403</f>
        <v>600</v>
      </c>
      <c r="Q403">
        <f>(P403*$U$4)</f>
        <v>9</v>
      </c>
    </row>
    <row r="404" spans="1:17">
      <c r="A404" s="2">
        <v>404</v>
      </c>
      <c r="B404" s="4">
        <f>YEAR(H404)</f>
        <v>2023</v>
      </c>
      <c r="C404" s="4">
        <f>MONTH(H404)</f>
        <v>5</v>
      </c>
      <c r="D404" s="4">
        <f>DAY(H404)</f>
        <v>25</v>
      </c>
      <c r="E404" s="4" t="str">
        <f>TEXT(H404,"dddd")</f>
        <v>Thursday</v>
      </c>
      <c r="F404" s="4" t="str">
        <f t="shared" si="7"/>
        <v>May</v>
      </c>
      <c r="G404" s="4"/>
      <c r="H404" s="3">
        <v>45071</v>
      </c>
      <c r="I404" s="4" t="s">
        <v>438</v>
      </c>
      <c r="J404" s="4" t="s">
        <v>27</v>
      </c>
      <c r="K404" s="4">
        <v>46</v>
      </c>
      <c r="L404" s="4" t="str" cm="1">
        <f t="array" ref="L404">_xlfn.IFS(K404&gt;=50, "Senior", K404&gt;=30, "Adult", K404&lt;30, "Young Adult")</f>
        <v>Adult</v>
      </c>
      <c r="M404" s="4" t="s">
        <v>10</v>
      </c>
      <c r="N404" s="4">
        <v>2</v>
      </c>
      <c r="O404" s="5">
        <v>500</v>
      </c>
      <c r="P404">
        <f>N404*O404</f>
        <v>1000</v>
      </c>
      <c r="Q404">
        <f>(P404*$U$4)</f>
        <v>15</v>
      </c>
    </row>
    <row r="405" spans="1:17">
      <c r="A405" s="2">
        <v>405</v>
      </c>
      <c r="B405" s="4">
        <f>YEAR(H405)</f>
        <v>2023</v>
      </c>
      <c r="C405" s="4">
        <f>MONTH(H405)</f>
        <v>11</v>
      </c>
      <c r="D405" s="4">
        <f>DAY(H405)</f>
        <v>6</v>
      </c>
      <c r="E405" s="4" t="str">
        <f>TEXT(H405,"dddd")</f>
        <v>Monday</v>
      </c>
      <c r="F405" s="4" t="str">
        <f t="shared" si="7"/>
        <v>November</v>
      </c>
      <c r="G405" s="4"/>
      <c r="H405" s="3">
        <v>45236</v>
      </c>
      <c r="I405" s="4" t="s">
        <v>439</v>
      </c>
      <c r="J405" s="4" t="s">
        <v>29</v>
      </c>
      <c r="K405" s="4">
        <v>46</v>
      </c>
      <c r="L405" s="4" t="str" cm="1">
        <f t="array" ref="L405">_xlfn.IFS(K405&gt;=50, "Senior", K405&gt;=30, "Adult", K405&lt;30, "Young Adult")</f>
        <v>Adult</v>
      </c>
      <c r="M405" s="4" t="s">
        <v>8</v>
      </c>
      <c r="N405" s="4">
        <v>4</v>
      </c>
      <c r="O405" s="5">
        <v>300</v>
      </c>
      <c r="P405">
        <f>N405*O405</f>
        <v>1200</v>
      </c>
      <c r="Q405">
        <f>(P405*$U$4)</f>
        <v>18</v>
      </c>
    </row>
    <row r="406" spans="1:17">
      <c r="A406" s="2">
        <v>406</v>
      </c>
      <c r="B406" s="4">
        <f>YEAR(H406)</f>
        <v>2023</v>
      </c>
      <c r="C406" s="4">
        <f>MONTH(H406)</f>
        <v>4</v>
      </c>
      <c r="D406" s="4">
        <f>DAY(H406)</f>
        <v>18</v>
      </c>
      <c r="E406" s="4" t="str">
        <f>TEXT(H406,"dddd")</f>
        <v>Tuesday</v>
      </c>
      <c r="F406" s="4" t="str">
        <f t="shared" si="7"/>
        <v>April</v>
      </c>
      <c r="G406" s="4"/>
      <c r="H406" s="3">
        <v>45034</v>
      </c>
      <c r="I406" s="4" t="s">
        <v>440</v>
      </c>
      <c r="J406" s="4" t="s">
        <v>29</v>
      </c>
      <c r="K406" s="4">
        <v>46</v>
      </c>
      <c r="L406" s="4" t="str" cm="1">
        <f t="array" ref="L406">_xlfn.IFS(K406&gt;=50, "Senior", K406&gt;=30, "Adult", K406&lt;30, "Young Adult")</f>
        <v>Adult</v>
      </c>
      <c r="M406" s="4" t="s">
        <v>3</v>
      </c>
      <c r="N406" s="4">
        <v>4</v>
      </c>
      <c r="O406" s="5">
        <v>25</v>
      </c>
      <c r="P406">
        <f>N406*O406</f>
        <v>100</v>
      </c>
      <c r="Q406">
        <f>(P406*$U$4)</f>
        <v>1.5</v>
      </c>
    </row>
    <row r="407" spans="1:17">
      <c r="A407" s="2">
        <v>407</v>
      </c>
      <c r="B407" s="4">
        <f>YEAR(H407)</f>
        <v>2023</v>
      </c>
      <c r="C407" s="4">
        <f>MONTH(H407)</f>
        <v>6</v>
      </c>
      <c r="D407" s="4">
        <f>DAY(H407)</f>
        <v>25</v>
      </c>
      <c r="E407" s="4" t="str">
        <f>TEXT(H407,"dddd")</f>
        <v>Sunday</v>
      </c>
      <c r="F407" s="4" t="str">
        <f t="shared" si="7"/>
        <v>June</v>
      </c>
      <c r="G407" s="4"/>
      <c r="H407" s="3">
        <v>45102</v>
      </c>
      <c r="I407" s="4" t="s">
        <v>441</v>
      </c>
      <c r="J407" s="4" t="s">
        <v>29</v>
      </c>
      <c r="K407" s="4">
        <v>46</v>
      </c>
      <c r="L407" s="4" t="str" cm="1">
        <f t="array" ref="L407">_xlfn.IFS(K407&gt;=50, "Senior", K407&gt;=30, "Adult", K407&lt;30, "Young Adult")</f>
        <v>Adult</v>
      </c>
      <c r="M407" s="4" t="s">
        <v>10</v>
      </c>
      <c r="N407" s="4">
        <v>3</v>
      </c>
      <c r="O407" s="5">
        <v>300</v>
      </c>
      <c r="P407">
        <f>N407*O407</f>
        <v>900</v>
      </c>
      <c r="Q407">
        <f>(P407*$U$4)</f>
        <v>13.5</v>
      </c>
    </row>
    <row r="408" spans="1:17">
      <c r="A408" s="2">
        <v>408</v>
      </c>
      <c r="B408" s="4">
        <f>YEAR(H408)</f>
        <v>2023</v>
      </c>
      <c r="C408" s="4">
        <f>MONTH(H408)</f>
        <v>4</v>
      </c>
      <c r="D408" s="4">
        <f>DAY(H408)</f>
        <v>15</v>
      </c>
      <c r="E408" s="4" t="str">
        <f>TEXT(H408,"dddd")</f>
        <v>Saturday</v>
      </c>
      <c r="F408" s="4" t="str">
        <f t="shared" si="7"/>
        <v>April</v>
      </c>
      <c r="G408" s="4"/>
      <c r="H408" s="3">
        <v>45031</v>
      </c>
      <c r="I408" s="4" t="s">
        <v>442</v>
      </c>
      <c r="J408" s="4" t="s">
        <v>29</v>
      </c>
      <c r="K408" s="4">
        <v>46</v>
      </c>
      <c r="L408" s="4" t="str" cm="1">
        <f t="array" ref="L408">_xlfn.IFS(K408&gt;=50, "Senior", K408&gt;=30, "Adult", K408&lt;30, "Young Adult")</f>
        <v>Adult</v>
      </c>
      <c r="M408" s="4" t="s">
        <v>3</v>
      </c>
      <c r="N408" s="4">
        <v>1</v>
      </c>
      <c r="O408" s="5">
        <v>500</v>
      </c>
      <c r="P408">
        <f>N408*O408</f>
        <v>500</v>
      </c>
      <c r="Q408">
        <f>(P408*$U$4)</f>
        <v>7.5</v>
      </c>
    </row>
    <row r="409" spans="1:17">
      <c r="A409" s="2">
        <v>409</v>
      </c>
      <c r="B409" s="4">
        <f>YEAR(H409)</f>
        <v>2023</v>
      </c>
      <c r="C409" s="4">
        <f>MONTH(H409)</f>
        <v>12</v>
      </c>
      <c r="D409" s="4">
        <f>DAY(H409)</f>
        <v>18</v>
      </c>
      <c r="E409" s="4" t="str">
        <f>TEXT(H409,"dddd")</f>
        <v>Monday</v>
      </c>
      <c r="F409" s="4" t="str">
        <f t="shared" si="7"/>
        <v>December</v>
      </c>
      <c r="G409" s="4"/>
      <c r="H409" s="3">
        <v>45278</v>
      </c>
      <c r="I409" s="4" t="s">
        <v>443</v>
      </c>
      <c r="J409" s="4" t="s">
        <v>29</v>
      </c>
      <c r="K409" s="4">
        <v>46</v>
      </c>
      <c r="L409" s="4" t="str" cm="1">
        <f t="array" ref="L409">_xlfn.IFS(K409&gt;=50, "Senior", K409&gt;=30, "Adult", K409&lt;30, "Young Adult")</f>
        <v>Adult</v>
      </c>
      <c r="M409" s="4" t="s">
        <v>10</v>
      </c>
      <c r="N409" s="4">
        <v>3</v>
      </c>
      <c r="O409" s="5">
        <v>300</v>
      </c>
      <c r="P409">
        <f>N409*O409</f>
        <v>900</v>
      </c>
      <c r="Q409">
        <f>(P409*$U$4)</f>
        <v>13.5</v>
      </c>
    </row>
    <row r="410" spans="1:17">
      <c r="A410" s="2">
        <v>410</v>
      </c>
      <c r="B410" s="4">
        <f>YEAR(H410)</f>
        <v>2023</v>
      </c>
      <c r="C410" s="4">
        <f>MONTH(H410)</f>
        <v>11</v>
      </c>
      <c r="D410" s="4">
        <f>DAY(H410)</f>
        <v>21</v>
      </c>
      <c r="E410" s="4" t="str">
        <f>TEXT(H410,"dddd")</f>
        <v>Tuesday</v>
      </c>
      <c r="F410" s="4" t="str">
        <f t="shared" si="7"/>
        <v>November</v>
      </c>
      <c r="G410" s="4"/>
      <c r="H410" s="3">
        <v>45251</v>
      </c>
      <c r="I410" s="4" t="s">
        <v>444</v>
      </c>
      <c r="J410" s="4" t="s">
        <v>29</v>
      </c>
      <c r="K410" s="4">
        <v>46</v>
      </c>
      <c r="L410" s="4" t="str" cm="1">
        <f t="array" ref="L410">_xlfn.IFS(K410&gt;=50, "Senior", K410&gt;=30, "Adult", K410&lt;30, "Young Adult")</f>
        <v>Adult</v>
      </c>
      <c r="M410" s="4" t="s">
        <v>8</v>
      </c>
      <c r="N410" s="4">
        <v>2</v>
      </c>
      <c r="O410" s="5">
        <v>50</v>
      </c>
      <c r="P410">
        <f>N410*O410</f>
        <v>100</v>
      </c>
      <c r="Q410">
        <f>(P410*$U$4)</f>
        <v>1.5</v>
      </c>
    </row>
    <row r="411" spans="1:17">
      <c r="A411" s="2">
        <v>411</v>
      </c>
      <c r="B411" s="4">
        <f>YEAR(H411)</f>
        <v>2023</v>
      </c>
      <c r="C411" s="4">
        <f>MONTH(H411)</f>
        <v>5</v>
      </c>
      <c r="D411" s="4">
        <f>DAY(H411)</f>
        <v>16</v>
      </c>
      <c r="E411" s="4" t="str">
        <f>TEXT(H411,"dddd")</f>
        <v>Tuesday</v>
      </c>
      <c r="F411" s="4" t="str">
        <f t="shared" si="7"/>
        <v>May</v>
      </c>
      <c r="G411" s="4"/>
      <c r="H411" s="3">
        <v>45062</v>
      </c>
      <c r="I411" s="4" t="s">
        <v>445</v>
      </c>
      <c r="J411" s="4" t="s">
        <v>27</v>
      </c>
      <c r="K411" s="4">
        <v>46</v>
      </c>
      <c r="L411" s="4" t="str" cm="1">
        <f t="array" ref="L411">_xlfn.IFS(K411&gt;=50, "Senior", K411&gt;=30, "Adult", K411&lt;30, "Young Adult")</f>
        <v>Adult</v>
      </c>
      <c r="M411" s="4" t="s">
        <v>10</v>
      </c>
      <c r="N411" s="4">
        <v>4</v>
      </c>
      <c r="O411" s="5">
        <v>50</v>
      </c>
      <c r="P411">
        <f>N411*O411</f>
        <v>200</v>
      </c>
      <c r="Q411">
        <f>(P411*$U$4)</f>
        <v>3</v>
      </c>
    </row>
    <row r="412" spans="1:17">
      <c r="A412" s="2">
        <v>412</v>
      </c>
      <c r="B412" s="4">
        <f>YEAR(H412)</f>
        <v>2023</v>
      </c>
      <c r="C412" s="4">
        <f>MONTH(H412)</f>
        <v>9</v>
      </c>
      <c r="D412" s="4">
        <f>DAY(H412)</f>
        <v>16</v>
      </c>
      <c r="E412" s="4" t="str">
        <f>TEXT(H412,"dddd")</f>
        <v>Saturday</v>
      </c>
      <c r="F412" s="4" t="str">
        <f t="shared" si="7"/>
        <v>September</v>
      </c>
      <c r="G412" s="4"/>
      <c r="H412" s="3">
        <v>45185</v>
      </c>
      <c r="I412" s="4" t="s">
        <v>446</v>
      </c>
      <c r="J412" s="4" t="s">
        <v>29</v>
      </c>
      <c r="K412" s="4">
        <v>46</v>
      </c>
      <c r="L412" s="4" t="str" cm="1">
        <f t="array" ref="L412">_xlfn.IFS(K412&gt;=50, "Senior", K412&gt;=30, "Adult", K412&lt;30, "Young Adult")</f>
        <v>Adult</v>
      </c>
      <c r="M412" s="4" t="s">
        <v>10</v>
      </c>
      <c r="N412" s="4">
        <v>4</v>
      </c>
      <c r="O412" s="5">
        <v>500</v>
      </c>
      <c r="P412">
        <f>N412*O412</f>
        <v>2000</v>
      </c>
      <c r="Q412">
        <f>(P412*$U$4)</f>
        <v>30</v>
      </c>
    </row>
    <row r="413" spans="1:17">
      <c r="A413" s="2">
        <v>413</v>
      </c>
      <c r="B413" s="4">
        <f>YEAR(H413)</f>
        <v>2023</v>
      </c>
      <c r="C413" s="4">
        <f>MONTH(H413)</f>
        <v>9</v>
      </c>
      <c r="D413" s="4">
        <f>DAY(H413)</f>
        <v>8</v>
      </c>
      <c r="E413" s="4" t="str">
        <f>TEXT(H413,"dddd")</f>
        <v>Friday</v>
      </c>
      <c r="F413" s="4" t="str">
        <f t="shared" si="7"/>
        <v>September</v>
      </c>
      <c r="G413" s="4"/>
      <c r="H413" s="3">
        <v>45177</v>
      </c>
      <c r="I413" s="4" t="s">
        <v>447</v>
      </c>
      <c r="J413" s="4" t="s">
        <v>29</v>
      </c>
      <c r="K413" s="4">
        <v>46</v>
      </c>
      <c r="L413" s="4" t="str" cm="1">
        <f t="array" ref="L413">_xlfn.IFS(K413&gt;=50, "Senior", K413&gt;=30, "Adult", K413&lt;30, "Young Adult")</f>
        <v>Adult</v>
      </c>
      <c r="M413" s="4" t="s">
        <v>3</v>
      </c>
      <c r="N413" s="4">
        <v>3</v>
      </c>
      <c r="O413" s="5">
        <v>25</v>
      </c>
      <c r="P413">
        <f>N413*O413</f>
        <v>75</v>
      </c>
      <c r="Q413">
        <f>(P413*$U$4)</f>
        <v>1.125</v>
      </c>
    </row>
    <row r="414" spans="1:17">
      <c r="A414" s="2">
        <v>414</v>
      </c>
      <c r="B414" s="4">
        <f>YEAR(H414)</f>
        <v>2023</v>
      </c>
      <c r="C414" s="4">
        <f>MONTH(H414)</f>
        <v>5</v>
      </c>
      <c r="D414" s="4">
        <f>DAY(H414)</f>
        <v>9</v>
      </c>
      <c r="E414" s="4" t="str">
        <f>TEXT(H414,"dddd")</f>
        <v>Tuesday</v>
      </c>
      <c r="F414" s="4" t="str">
        <f t="shared" si="7"/>
        <v>May</v>
      </c>
      <c r="G414" s="4"/>
      <c r="H414" s="3">
        <v>45055</v>
      </c>
      <c r="I414" s="4" t="s">
        <v>448</v>
      </c>
      <c r="J414" s="4" t="s">
        <v>27</v>
      </c>
      <c r="K414" s="4">
        <v>46</v>
      </c>
      <c r="L414" s="4" t="str" cm="1">
        <f t="array" ref="L414">_xlfn.IFS(K414&gt;=50, "Senior", K414&gt;=30, "Adult", K414&lt;30, "Young Adult")</f>
        <v>Adult</v>
      </c>
      <c r="M414" s="4" t="s">
        <v>3</v>
      </c>
      <c r="N414" s="4">
        <v>4</v>
      </c>
      <c r="O414" s="5">
        <v>25</v>
      </c>
      <c r="P414">
        <f>N414*O414</f>
        <v>100</v>
      </c>
      <c r="Q414">
        <f>(P414*$U$4)</f>
        <v>1.5</v>
      </c>
    </row>
    <row r="415" spans="1:17">
      <c r="A415" s="2">
        <v>415</v>
      </c>
      <c r="B415" s="4">
        <f>YEAR(H415)</f>
        <v>2023</v>
      </c>
      <c r="C415" s="4">
        <f>MONTH(H415)</f>
        <v>1</v>
      </c>
      <c r="D415" s="4">
        <f>DAY(H415)</f>
        <v>27</v>
      </c>
      <c r="E415" s="4" t="str">
        <f>TEXT(H415,"dddd")</f>
        <v>Friday</v>
      </c>
      <c r="F415" s="4" t="str">
        <f t="shared" si="7"/>
        <v>January</v>
      </c>
      <c r="G415" s="4"/>
      <c r="H415" s="3">
        <v>44953</v>
      </c>
      <c r="I415" s="4" t="s">
        <v>449</v>
      </c>
      <c r="J415" s="4" t="s">
        <v>27</v>
      </c>
      <c r="K415" s="4">
        <v>46</v>
      </c>
      <c r="L415" s="4" t="str" cm="1">
        <f t="array" ref="L415">_xlfn.IFS(K415&gt;=50, "Senior", K415&gt;=30, "Adult", K415&lt;30, "Young Adult")</f>
        <v>Adult</v>
      </c>
      <c r="M415" s="4" t="s">
        <v>8</v>
      </c>
      <c r="N415" s="4">
        <v>2</v>
      </c>
      <c r="O415" s="5">
        <v>30</v>
      </c>
      <c r="P415">
        <f>N415*O415</f>
        <v>60</v>
      </c>
      <c r="Q415">
        <f>(P415*$U$4)</f>
        <v>0.89999999999999991</v>
      </c>
    </row>
    <row r="416" spans="1:17">
      <c r="A416" s="2">
        <v>416</v>
      </c>
      <c r="B416" s="4">
        <f>YEAR(H416)</f>
        <v>2023</v>
      </c>
      <c r="C416" s="4">
        <f>MONTH(H416)</f>
        <v>2</v>
      </c>
      <c r="D416" s="4">
        <f>DAY(H416)</f>
        <v>17</v>
      </c>
      <c r="E416" s="4" t="str">
        <f>TEXT(H416,"dddd")</f>
        <v>Friday</v>
      </c>
      <c r="F416" s="4" t="str">
        <f t="shared" si="7"/>
        <v>February</v>
      </c>
      <c r="G416" s="4"/>
      <c r="H416" s="3">
        <v>44974</v>
      </c>
      <c r="I416" s="4" t="s">
        <v>450</v>
      </c>
      <c r="J416" s="4" t="s">
        <v>27</v>
      </c>
      <c r="K416" s="4">
        <v>46</v>
      </c>
      <c r="L416" s="4" t="str" cm="1">
        <f t="array" ref="L416">_xlfn.IFS(K416&gt;=50, "Senior", K416&gt;=30, "Adult", K416&lt;30, "Young Adult")</f>
        <v>Adult</v>
      </c>
      <c r="M416" s="4" t="s">
        <v>10</v>
      </c>
      <c r="N416" s="4">
        <v>4</v>
      </c>
      <c r="O416" s="5">
        <v>500</v>
      </c>
      <c r="P416">
        <f>N416*O416</f>
        <v>2000</v>
      </c>
      <c r="Q416">
        <f>(P416*$U$4)</f>
        <v>30</v>
      </c>
    </row>
    <row r="417" spans="1:17">
      <c r="A417" s="2">
        <v>417</v>
      </c>
      <c r="B417" s="4">
        <f>YEAR(H417)</f>
        <v>2023</v>
      </c>
      <c r="C417" s="4">
        <f>MONTH(H417)</f>
        <v>11</v>
      </c>
      <c r="D417" s="4">
        <f>DAY(H417)</f>
        <v>21</v>
      </c>
      <c r="E417" s="4" t="str">
        <f>TEXT(H417,"dddd")</f>
        <v>Tuesday</v>
      </c>
      <c r="F417" s="4" t="str">
        <f t="shared" si="7"/>
        <v>November</v>
      </c>
      <c r="G417" s="4"/>
      <c r="H417" s="3">
        <v>45251</v>
      </c>
      <c r="I417" s="4" t="s">
        <v>451</v>
      </c>
      <c r="J417" s="4" t="s">
        <v>27</v>
      </c>
      <c r="K417" s="4">
        <v>46</v>
      </c>
      <c r="L417" s="4" t="str" cm="1">
        <f t="array" ref="L417">_xlfn.IFS(K417&gt;=50, "Senior", K417&gt;=30, "Adult", K417&lt;30, "Young Adult")</f>
        <v>Adult</v>
      </c>
      <c r="M417" s="4" t="s">
        <v>10</v>
      </c>
      <c r="N417" s="4">
        <v>3</v>
      </c>
      <c r="O417" s="5">
        <v>300</v>
      </c>
      <c r="P417">
        <f>N417*O417</f>
        <v>900</v>
      </c>
      <c r="Q417">
        <f>(P417*$U$4)</f>
        <v>13.5</v>
      </c>
    </row>
    <row r="418" spans="1:17">
      <c r="A418" s="2">
        <v>418</v>
      </c>
      <c r="B418" s="4">
        <f>YEAR(H418)</f>
        <v>2023</v>
      </c>
      <c r="C418" s="4">
        <f>MONTH(H418)</f>
        <v>8</v>
      </c>
      <c r="D418" s="4">
        <f>DAY(H418)</f>
        <v>5</v>
      </c>
      <c r="E418" s="4" t="str">
        <f>TEXT(H418,"dddd")</f>
        <v>Saturday</v>
      </c>
      <c r="F418" s="4" t="str">
        <f t="shared" si="7"/>
        <v>August</v>
      </c>
      <c r="G418" s="4"/>
      <c r="H418" s="3">
        <v>45143</v>
      </c>
      <c r="I418" s="4" t="s">
        <v>452</v>
      </c>
      <c r="J418" s="4" t="s">
        <v>29</v>
      </c>
      <c r="K418" s="4">
        <v>46</v>
      </c>
      <c r="L418" s="4" t="str" cm="1">
        <f t="array" ref="L418">_xlfn.IFS(K418&gt;=50, "Senior", K418&gt;=30, "Adult", K418&lt;30, "Young Adult")</f>
        <v>Adult</v>
      </c>
      <c r="M418" s="4" t="s">
        <v>10</v>
      </c>
      <c r="N418" s="4">
        <v>2</v>
      </c>
      <c r="O418" s="5">
        <v>500</v>
      </c>
      <c r="P418">
        <f>N418*O418</f>
        <v>1000</v>
      </c>
      <c r="Q418">
        <f>(P418*$U$4)</f>
        <v>15</v>
      </c>
    </row>
    <row r="419" spans="1:17">
      <c r="A419" s="2">
        <v>419</v>
      </c>
      <c r="B419" s="4">
        <f>YEAR(H419)</f>
        <v>2023</v>
      </c>
      <c r="C419" s="4">
        <f>MONTH(H419)</f>
        <v>5</v>
      </c>
      <c r="D419" s="4">
        <f>DAY(H419)</f>
        <v>22</v>
      </c>
      <c r="E419" s="4" t="str">
        <f>TEXT(H419,"dddd")</f>
        <v>Monday</v>
      </c>
      <c r="F419" s="4" t="str">
        <f t="shared" si="7"/>
        <v>May</v>
      </c>
      <c r="G419" s="4"/>
      <c r="H419" s="3">
        <v>45068</v>
      </c>
      <c r="I419" s="4" t="s">
        <v>453</v>
      </c>
      <c r="J419" s="4" t="s">
        <v>29</v>
      </c>
      <c r="K419" s="4">
        <v>46</v>
      </c>
      <c r="L419" s="4" t="str" cm="1">
        <f t="array" ref="L419">_xlfn.IFS(K419&gt;=50, "Senior", K419&gt;=30, "Adult", K419&lt;30, "Young Adult")</f>
        <v>Adult</v>
      </c>
      <c r="M419" s="4" t="s">
        <v>8</v>
      </c>
      <c r="N419" s="4">
        <v>3</v>
      </c>
      <c r="O419" s="5">
        <v>30</v>
      </c>
      <c r="P419">
        <f>N419*O419</f>
        <v>90</v>
      </c>
      <c r="Q419">
        <f>(P419*$U$4)</f>
        <v>1.3499999999999999</v>
      </c>
    </row>
    <row r="420" spans="1:17">
      <c r="A420" s="2">
        <v>420</v>
      </c>
      <c r="B420" s="4">
        <f>YEAR(H420)</f>
        <v>2023</v>
      </c>
      <c r="C420" s="4">
        <f>MONTH(H420)</f>
        <v>1</v>
      </c>
      <c r="D420" s="4">
        <f>DAY(H420)</f>
        <v>23</v>
      </c>
      <c r="E420" s="4" t="str">
        <f>TEXT(H420,"dddd")</f>
        <v>Monday</v>
      </c>
      <c r="F420" s="4" t="str">
        <f t="shared" si="7"/>
        <v>January</v>
      </c>
      <c r="G420" s="4"/>
      <c r="H420" s="3">
        <v>44949</v>
      </c>
      <c r="I420" s="4" t="s">
        <v>454</v>
      </c>
      <c r="J420" s="4" t="s">
        <v>29</v>
      </c>
      <c r="K420" s="4">
        <v>46</v>
      </c>
      <c r="L420" s="4" t="str" cm="1">
        <f t="array" ref="L420">_xlfn.IFS(K420&gt;=50, "Senior", K420&gt;=30, "Adult", K420&lt;30, "Young Adult")</f>
        <v>Adult</v>
      </c>
      <c r="M420" s="4" t="s">
        <v>8</v>
      </c>
      <c r="N420" s="4">
        <v>4</v>
      </c>
      <c r="O420" s="5">
        <v>500</v>
      </c>
      <c r="P420">
        <f>N420*O420</f>
        <v>2000</v>
      </c>
      <c r="Q420">
        <f>(P420*$U$4)</f>
        <v>30</v>
      </c>
    </row>
    <row r="421" spans="1:17">
      <c r="A421" s="2">
        <v>421</v>
      </c>
      <c r="B421" s="4">
        <f>YEAR(H421)</f>
        <v>2023</v>
      </c>
      <c r="C421" s="4">
        <f>MONTH(H421)</f>
        <v>1</v>
      </c>
      <c r="D421" s="4">
        <f>DAY(H421)</f>
        <v>2</v>
      </c>
      <c r="E421" s="4" t="str">
        <f>TEXT(H421,"dddd")</f>
        <v>Monday</v>
      </c>
      <c r="F421" s="4" t="str">
        <f t="shared" si="7"/>
        <v>January</v>
      </c>
      <c r="G421" s="4"/>
      <c r="H421" s="3">
        <v>44928</v>
      </c>
      <c r="I421" s="4" t="s">
        <v>455</v>
      </c>
      <c r="J421" s="4" t="s">
        <v>29</v>
      </c>
      <c r="K421" s="4">
        <v>46</v>
      </c>
      <c r="L421" s="4" t="str" cm="1">
        <f t="array" ref="L421">_xlfn.IFS(K421&gt;=50, "Senior", K421&gt;=30, "Adult", K421&lt;30, "Young Adult")</f>
        <v>Adult</v>
      </c>
      <c r="M421" s="4" t="s">
        <v>8</v>
      </c>
      <c r="N421" s="4">
        <v>3</v>
      </c>
      <c r="O421" s="5">
        <v>500</v>
      </c>
      <c r="P421">
        <f>N421*O421</f>
        <v>1500</v>
      </c>
      <c r="Q421">
        <f>(P421*$U$4)</f>
        <v>22.5</v>
      </c>
    </row>
    <row r="422" spans="1:17">
      <c r="A422" s="2">
        <v>422</v>
      </c>
      <c r="B422" s="4">
        <f>YEAR(H422)</f>
        <v>2023</v>
      </c>
      <c r="C422" s="4">
        <f>MONTH(H422)</f>
        <v>6</v>
      </c>
      <c r="D422" s="4">
        <f>DAY(H422)</f>
        <v>20</v>
      </c>
      <c r="E422" s="4" t="str">
        <f>TEXT(H422,"dddd")</f>
        <v>Tuesday</v>
      </c>
      <c r="F422" s="4" t="str">
        <f t="shared" si="7"/>
        <v>June</v>
      </c>
      <c r="G422" s="4"/>
      <c r="H422" s="3">
        <v>45097</v>
      </c>
      <c r="I422" s="4" t="s">
        <v>456</v>
      </c>
      <c r="J422" s="4" t="s">
        <v>29</v>
      </c>
      <c r="K422" s="4">
        <v>46</v>
      </c>
      <c r="L422" s="4" t="str" cm="1">
        <f t="array" ref="L422">_xlfn.IFS(K422&gt;=50, "Senior", K422&gt;=30, "Adult", K422&lt;30, "Young Adult")</f>
        <v>Adult</v>
      </c>
      <c r="M422" s="4" t="s">
        <v>8</v>
      </c>
      <c r="N422" s="4">
        <v>3</v>
      </c>
      <c r="O422" s="5">
        <v>30</v>
      </c>
      <c r="P422">
        <f>N422*O422</f>
        <v>90</v>
      </c>
      <c r="Q422">
        <f>(P422*$U$4)</f>
        <v>1.3499999999999999</v>
      </c>
    </row>
    <row r="423" spans="1:17">
      <c r="A423" s="2">
        <v>423</v>
      </c>
      <c r="B423" s="4">
        <f>YEAR(H423)</f>
        <v>2023</v>
      </c>
      <c r="C423" s="4">
        <f>MONTH(H423)</f>
        <v>3</v>
      </c>
      <c r="D423" s="4">
        <f>DAY(H423)</f>
        <v>8</v>
      </c>
      <c r="E423" s="4" t="str">
        <f>TEXT(H423,"dddd")</f>
        <v>Wednesday</v>
      </c>
      <c r="F423" s="4" t="str">
        <f t="shared" si="7"/>
        <v>March</v>
      </c>
      <c r="G423" s="4"/>
      <c r="H423" s="3">
        <v>44993</v>
      </c>
      <c r="I423" s="4" t="s">
        <v>457</v>
      </c>
      <c r="J423" s="4" t="s">
        <v>29</v>
      </c>
      <c r="K423" s="4">
        <v>46</v>
      </c>
      <c r="L423" s="4" t="str" cm="1">
        <f t="array" ref="L423">_xlfn.IFS(K423&gt;=50, "Senior", K423&gt;=30, "Adult", K423&lt;30, "Young Adult")</f>
        <v>Adult</v>
      </c>
      <c r="M423" s="4" t="s">
        <v>8</v>
      </c>
      <c r="N423" s="4">
        <v>1</v>
      </c>
      <c r="O423" s="5">
        <v>25</v>
      </c>
      <c r="P423">
        <f>N423*O423</f>
        <v>25</v>
      </c>
      <c r="Q423">
        <f>(P423*$U$4)</f>
        <v>0.375</v>
      </c>
    </row>
    <row r="424" spans="1:17">
      <c r="A424" s="2">
        <v>424</v>
      </c>
      <c r="B424" s="4">
        <f>YEAR(H424)</f>
        <v>2023</v>
      </c>
      <c r="C424" s="4">
        <f>MONTH(H424)</f>
        <v>11</v>
      </c>
      <c r="D424" s="4">
        <f>DAY(H424)</f>
        <v>23</v>
      </c>
      <c r="E424" s="4" t="str">
        <f>TEXT(H424,"dddd")</f>
        <v>Thursday</v>
      </c>
      <c r="F424" s="4" t="str">
        <f t="shared" si="7"/>
        <v>November</v>
      </c>
      <c r="G424" s="4"/>
      <c r="H424" s="3">
        <v>45253</v>
      </c>
      <c r="I424" s="4" t="s">
        <v>458</v>
      </c>
      <c r="J424" s="4" t="s">
        <v>27</v>
      </c>
      <c r="K424" s="4">
        <v>46</v>
      </c>
      <c r="L424" s="4" t="str" cm="1">
        <f t="array" ref="L424">_xlfn.IFS(K424&gt;=50, "Senior", K424&gt;=30, "Adult", K424&lt;30, "Young Adult")</f>
        <v>Adult</v>
      </c>
      <c r="M424" s="4" t="s">
        <v>3</v>
      </c>
      <c r="N424" s="4">
        <v>4</v>
      </c>
      <c r="O424" s="5">
        <v>300</v>
      </c>
      <c r="P424">
        <f>N424*O424</f>
        <v>1200</v>
      </c>
      <c r="Q424">
        <f>(P424*$U$4)</f>
        <v>18</v>
      </c>
    </row>
    <row r="425" spans="1:17">
      <c r="A425" s="2">
        <v>425</v>
      </c>
      <c r="B425" s="4">
        <f>YEAR(H425)</f>
        <v>2023</v>
      </c>
      <c r="C425" s="4">
        <f>MONTH(H425)</f>
        <v>5</v>
      </c>
      <c r="D425" s="4">
        <f>DAY(H425)</f>
        <v>15</v>
      </c>
      <c r="E425" s="4" t="str">
        <f>TEXT(H425,"dddd")</f>
        <v>Monday</v>
      </c>
      <c r="F425" s="4" t="str">
        <f t="shared" si="7"/>
        <v>May</v>
      </c>
      <c r="G425" s="4"/>
      <c r="H425" s="3">
        <v>45061</v>
      </c>
      <c r="I425" s="4" t="s">
        <v>459</v>
      </c>
      <c r="J425" s="4" t="s">
        <v>29</v>
      </c>
      <c r="K425" s="4">
        <v>45</v>
      </c>
      <c r="L425" s="4" t="str" cm="1">
        <f t="array" ref="L425">_xlfn.IFS(K425&gt;=50, "Senior", K425&gt;=30, "Adult", K425&lt;30, "Young Adult")</f>
        <v>Adult</v>
      </c>
      <c r="M425" s="4" t="s">
        <v>10</v>
      </c>
      <c r="N425" s="4">
        <v>4</v>
      </c>
      <c r="O425" s="5">
        <v>30</v>
      </c>
      <c r="P425">
        <f>N425*O425</f>
        <v>120</v>
      </c>
      <c r="Q425">
        <f>(P425*$U$4)</f>
        <v>1.7999999999999998</v>
      </c>
    </row>
    <row r="426" spans="1:17">
      <c r="A426" s="2">
        <v>426</v>
      </c>
      <c r="B426" s="4">
        <f>YEAR(H426)</f>
        <v>2023</v>
      </c>
      <c r="C426" s="4">
        <f>MONTH(H426)</f>
        <v>3</v>
      </c>
      <c r="D426" s="4">
        <f>DAY(H426)</f>
        <v>24</v>
      </c>
      <c r="E426" s="4" t="str">
        <f>TEXT(H426,"dddd")</f>
        <v>Friday</v>
      </c>
      <c r="F426" s="4" t="str">
        <f t="shared" si="7"/>
        <v>March</v>
      </c>
      <c r="G426" s="4"/>
      <c r="H426" s="3">
        <v>45009</v>
      </c>
      <c r="I426" s="4" t="s">
        <v>460</v>
      </c>
      <c r="J426" s="4" t="s">
        <v>27</v>
      </c>
      <c r="K426" s="4">
        <v>45</v>
      </c>
      <c r="L426" s="4" t="str" cm="1">
        <f t="array" ref="L426">_xlfn.IFS(K426&gt;=50, "Senior", K426&gt;=30, "Adult", K426&lt;30, "Young Adult")</f>
        <v>Adult</v>
      </c>
      <c r="M426" s="4" t="s">
        <v>10</v>
      </c>
      <c r="N426" s="4">
        <v>3</v>
      </c>
      <c r="O426" s="5">
        <v>50</v>
      </c>
      <c r="P426">
        <f>N426*O426</f>
        <v>150</v>
      </c>
      <c r="Q426">
        <f>(P426*$U$4)</f>
        <v>2.25</v>
      </c>
    </row>
    <row r="427" spans="1:17">
      <c r="A427" s="2">
        <v>427</v>
      </c>
      <c r="B427" s="4">
        <f>YEAR(H427)</f>
        <v>2023</v>
      </c>
      <c r="C427" s="4">
        <f>MONTH(H427)</f>
        <v>8</v>
      </c>
      <c r="D427" s="4">
        <f>DAY(H427)</f>
        <v>15</v>
      </c>
      <c r="E427" s="4" t="str">
        <f>TEXT(H427,"dddd")</f>
        <v>Tuesday</v>
      </c>
      <c r="F427" s="4" t="str">
        <f t="shared" si="7"/>
        <v>August</v>
      </c>
      <c r="G427" s="4"/>
      <c r="H427" s="3">
        <v>45153</v>
      </c>
      <c r="I427" s="4" t="s">
        <v>461</v>
      </c>
      <c r="J427" s="4" t="s">
        <v>27</v>
      </c>
      <c r="K427" s="4">
        <v>45</v>
      </c>
      <c r="L427" s="4" t="str" cm="1">
        <f t="array" ref="L427">_xlfn.IFS(K427&gt;=50, "Senior", K427&gt;=30, "Adult", K427&lt;30, "Young Adult")</f>
        <v>Adult</v>
      </c>
      <c r="M427" s="4" t="s">
        <v>10</v>
      </c>
      <c r="N427" s="4">
        <v>1</v>
      </c>
      <c r="O427" s="5">
        <v>25</v>
      </c>
      <c r="P427">
        <f>N427*O427</f>
        <v>25</v>
      </c>
      <c r="Q427">
        <f>(P427*$U$4)</f>
        <v>0.375</v>
      </c>
    </row>
    <row r="428" spans="1:17">
      <c r="A428" s="2">
        <v>428</v>
      </c>
      <c r="B428" s="4">
        <f>YEAR(H428)</f>
        <v>2023</v>
      </c>
      <c r="C428" s="4">
        <f>MONTH(H428)</f>
        <v>10</v>
      </c>
      <c r="D428" s="4">
        <f>DAY(H428)</f>
        <v>10</v>
      </c>
      <c r="E428" s="4" t="str">
        <f>TEXT(H428,"dddd")</f>
        <v>Tuesday</v>
      </c>
      <c r="F428" s="4" t="str">
        <f t="shared" si="7"/>
        <v>October</v>
      </c>
      <c r="G428" s="4"/>
      <c r="H428" s="3">
        <v>45209</v>
      </c>
      <c r="I428" s="4" t="s">
        <v>462</v>
      </c>
      <c r="J428" s="4" t="s">
        <v>29</v>
      </c>
      <c r="K428" s="4">
        <v>45</v>
      </c>
      <c r="L428" s="4" t="str" cm="1">
        <f t="array" ref="L428">_xlfn.IFS(K428&gt;=50, "Senior", K428&gt;=30, "Adult", K428&lt;30, "Young Adult")</f>
        <v>Adult</v>
      </c>
      <c r="M428" s="4" t="s">
        <v>10</v>
      </c>
      <c r="N428" s="4">
        <v>4</v>
      </c>
      <c r="O428" s="5">
        <v>50</v>
      </c>
      <c r="P428">
        <f>N428*O428</f>
        <v>200</v>
      </c>
      <c r="Q428">
        <f>(P428*$U$4)</f>
        <v>3</v>
      </c>
    </row>
    <row r="429" spans="1:17">
      <c r="A429" s="2">
        <v>429</v>
      </c>
      <c r="B429" s="4">
        <f>YEAR(H429)</f>
        <v>2023</v>
      </c>
      <c r="C429" s="4">
        <f>MONTH(H429)</f>
        <v>12</v>
      </c>
      <c r="D429" s="4">
        <f>DAY(H429)</f>
        <v>28</v>
      </c>
      <c r="E429" s="4" t="str">
        <f>TEXT(H429,"dddd")</f>
        <v>Thursday</v>
      </c>
      <c r="F429" s="4" t="str">
        <f t="shared" si="7"/>
        <v>December</v>
      </c>
      <c r="G429" s="4"/>
      <c r="H429" s="3">
        <v>45288</v>
      </c>
      <c r="I429" s="4" t="s">
        <v>463</v>
      </c>
      <c r="J429" s="4" t="s">
        <v>27</v>
      </c>
      <c r="K429" s="4">
        <v>45</v>
      </c>
      <c r="L429" s="4" t="str" cm="1">
        <f t="array" ref="L429">_xlfn.IFS(K429&gt;=50, "Senior", K429&gt;=30, "Adult", K429&lt;30, "Young Adult")</f>
        <v>Adult</v>
      </c>
      <c r="M429" s="4" t="s">
        <v>10</v>
      </c>
      <c r="N429" s="4">
        <v>2</v>
      </c>
      <c r="O429" s="5">
        <v>25</v>
      </c>
      <c r="P429">
        <f>N429*O429</f>
        <v>50</v>
      </c>
      <c r="Q429">
        <f>(P429*$U$4)</f>
        <v>0.75</v>
      </c>
    </row>
    <row r="430" spans="1:17">
      <c r="A430" s="2">
        <v>430</v>
      </c>
      <c r="B430" s="4">
        <f>YEAR(H430)</f>
        <v>2023</v>
      </c>
      <c r="C430" s="4">
        <f>MONTH(H430)</f>
        <v>8</v>
      </c>
      <c r="D430" s="4">
        <f>DAY(H430)</f>
        <v>7</v>
      </c>
      <c r="E430" s="4" t="str">
        <f>TEXT(H430,"dddd")</f>
        <v>Monday</v>
      </c>
      <c r="F430" s="4" t="str">
        <f t="shared" si="7"/>
        <v>August</v>
      </c>
      <c r="G430" s="4"/>
      <c r="H430" s="3">
        <v>45145</v>
      </c>
      <c r="I430" s="4" t="s">
        <v>464</v>
      </c>
      <c r="J430" s="4" t="s">
        <v>29</v>
      </c>
      <c r="K430" s="4">
        <v>45</v>
      </c>
      <c r="L430" s="4" t="str" cm="1">
        <f t="array" ref="L430">_xlfn.IFS(K430&gt;=50, "Senior", K430&gt;=30, "Adult", K430&lt;30, "Young Adult")</f>
        <v>Adult</v>
      </c>
      <c r="M430" s="4" t="s">
        <v>10</v>
      </c>
      <c r="N430" s="4">
        <v>3</v>
      </c>
      <c r="O430" s="5">
        <v>300</v>
      </c>
      <c r="P430">
        <f>N430*O430</f>
        <v>900</v>
      </c>
      <c r="Q430">
        <f>(P430*$U$4)</f>
        <v>13.5</v>
      </c>
    </row>
    <row r="431" spans="1:17">
      <c r="A431" s="2">
        <v>431</v>
      </c>
      <c r="B431" s="4">
        <f>YEAR(H431)</f>
        <v>2023</v>
      </c>
      <c r="C431" s="4">
        <f>MONTH(H431)</f>
        <v>10</v>
      </c>
      <c r="D431" s="4">
        <f>DAY(H431)</f>
        <v>15</v>
      </c>
      <c r="E431" s="4" t="str">
        <f>TEXT(H431,"dddd")</f>
        <v>Sunday</v>
      </c>
      <c r="F431" s="4" t="str">
        <f t="shared" si="7"/>
        <v>October</v>
      </c>
      <c r="G431" s="4"/>
      <c r="H431" s="3">
        <v>45214</v>
      </c>
      <c r="I431" s="4" t="s">
        <v>465</v>
      </c>
      <c r="J431" s="4" t="s">
        <v>27</v>
      </c>
      <c r="K431" s="4">
        <v>45</v>
      </c>
      <c r="L431" s="4" t="str" cm="1">
        <f t="array" ref="L431">_xlfn.IFS(K431&gt;=50, "Senior", K431&gt;=30, "Adult", K431&lt;30, "Young Adult")</f>
        <v>Adult</v>
      </c>
      <c r="M431" s="4" t="s">
        <v>10</v>
      </c>
      <c r="N431" s="4">
        <v>4</v>
      </c>
      <c r="O431" s="5">
        <v>300</v>
      </c>
      <c r="P431">
        <f>N431*O431</f>
        <v>1200</v>
      </c>
      <c r="Q431">
        <f>(P431*$U$4)</f>
        <v>18</v>
      </c>
    </row>
    <row r="432" spans="1:17">
      <c r="A432" s="2">
        <v>432</v>
      </c>
      <c r="B432" s="4">
        <f>YEAR(H432)</f>
        <v>2023</v>
      </c>
      <c r="C432" s="4">
        <f>MONTH(H432)</f>
        <v>1</v>
      </c>
      <c r="D432" s="4">
        <f>DAY(H432)</f>
        <v>5</v>
      </c>
      <c r="E432" s="4" t="str">
        <f>TEXT(H432,"dddd")</f>
        <v>Thursday</v>
      </c>
      <c r="F432" s="4" t="str">
        <f t="shared" si="7"/>
        <v>January</v>
      </c>
      <c r="G432" s="4"/>
      <c r="H432" s="3">
        <v>44931</v>
      </c>
      <c r="I432" s="4" t="s">
        <v>466</v>
      </c>
      <c r="J432" s="4" t="s">
        <v>29</v>
      </c>
      <c r="K432" s="4">
        <v>45</v>
      </c>
      <c r="L432" s="4" t="str" cm="1">
        <f t="array" ref="L432">_xlfn.IFS(K432&gt;=50, "Senior", K432&gt;=30, "Adult", K432&lt;30, "Young Adult")</f>
        <v>Adult</v>
      </c>
      <c r="M432" s="4" t="s">
        <v>10</v>
      </c>
      <c r="N432" s="4">
        <v>2</v>
      </c>
      <c r="O432" s="5">
        <v>500</v>
      </c>
      <c r="P432">
        <f>N432*O432</f>
        <v>1000</v>
      </c>
      <c r="Q432">
        <f>(P432*$U$4)</f>
        <v>15</v>
      </c>
    </row>
    <row r="433" spans="1:17">
      <c r="A433" s="2">
        <v>433</v>
      </c>
      <c r="B433" s="4">
        <f>YEAR(H433)</f>
        <v>2023</v>
      </c>
      <c r="C433" s="4">
        <f>MONTH(H433)</f>
        <v>2</v>
      </c>
      <c r="D433" s="4">
        <f>DAY(H433)</f>
        <v>27</v>
      </c>
      <c r="E433" s="4" t="str">
        <f>TEXT(H433,"dddd")</f>
        <v>Monday</v>
      </c>
      <c r="F433" s="4" t="str">
        <f t="shared" si="7"/>
        <v>February</v>
      </c>
      <c r="G433" s="4"/>
      <c r="H433" s="3">
        <v>44984</v>
      </c>
      <c r="I433" s="4" t="s">
        <v>467</v>
      </c>
      <c r="J433" s="4" t="s">
        <v>27</v>
      </c>
      <c r="K433" s="4">
        <v>45</v>
      </c>
      <c r="L433" s="4" t="str" cm="1">
        <f t="array" ref="L433">_xlfn.IFS(K433&gt;=50, "Senior", K433&gt;=30, "Adult", K433&lt;30, "Young Adult")</f>
        <v>Adult</v>
      </c>
      <c r="M433" s="4" t="s">
        <v>3</v>
      </c>
      <c r="N433" s="4">
        <v>4</v>
      </c>
      <c r="O433" s="5">
        <v>50</v>
      </c>
      <c r="P433">
        <f>N433*O433</f>
        <v>200</v>
      </c>
      <c r="Q433">
        <f>(P433*$U$4)</f>
        <v>3</v>
      </c>
    </row>
    <row r="434" spans="1:17">
      <c r="A434" s="2">
        <v>434</v>
      </c>
      <c r="B434" s="4">
        <f>YEAR(H434)</f>
        <v>2023</v>
      </c>
      <c r="C434" s="4">
        <f>MONTH(H434)</f>
        <v>2</v>
      </c>
      <c r="D434" s="4">
        <f>DAY(H434)</f>
        <v>8</v>
      </c>
      <c r="E434" s="4" t="str">
        <f>TEXT(H434,"dddd")</f>
        <v>Wednesday</v>
      </c>
      <c r="F434" s="4" t="str">
        <f t="shared" si="7"/>
        <v>February</v>
      </c>
      <c r="G434" s="4"/>
      <c r="H434" s="3">
        <v>44965</v>
      </c>
      <c r="I434" s="4" t="s">
        <v>468</v>
      </c>
      <c r="J434" s="4" t="s">
        <v>29</v>
      </c>
      <c r="K434" s="4">
        <v>45</v>
      </c>
      <c r="L434" s="4" t="str" cm="1">
        <f t="array" ref="L434">_xlfn.IFS(K434&gt;=50, "Senior", K434&gt;=30, "Adult", K434&lt;30, "Young Adult")</f>
        <v>Adult</v>
      </c>
      <c r="M434" s="4" t="s">
        <v>10</v>
      </c>
      <c r="N434" s="4">
        <v>2</v>
      </c>
      <c r="O434" s="5">
        <v>25</v>
      </c>
      <c r="P434">
        <f>N434*O434</f>
        <v>50</v>
      </c>
      <c r="Q434">
        <f>(P434*$U$4)</f>
        <v>0.75</v>
      </c>
    </row>
    <row r="435" spans="1:17">
      <c r="A435" s="2">
        <v>435</v>
      </c>
      <c r="B435" s="4">
        <f>YEAR(H435)</f>
        <v>2023</v>
      </c>
      <c r="C435" s="4">
        <f>MONTH(H435)</f>
        <v>12</v>
      </c>
      <c r="D435" s="4">
        <f>DAY(H435)</f>
        <v>20</v>
      </c>
      <c r="E435" s="4" t="str">
        <f>TEXT(H435,"dddd")</f>
        <v>Wednesday</v>
      </c>
      <c r="F435" s="4" t="str">
        <f t="shared" si="7"/>
        <v>December</v>
      </c>
      <c r="G435" s="4"/>
      <c r="H435" s="3">
        <v>45280</v>
      </c>
      <c r="I435" s="4" t="s">
        <v>469</v>
      </c>
      <c r="J435" s="4" t="s">
        <v>29</v>
      </c>
      <c r="K435" s="4">
        <v>45</v>
      </c>
      <c r="L435" s="4" t="str" cm="1">
        <f t="array" ref="L435">_xlfn.IFS(K435&gt;=50, "Senior", K435&gt;=30, "Adult", K435&lt;30, "Young Adult")</f>
        <v>Adult</v>
      </c>
      <c r="M435" s="4" t="s">
        <v>3</v>
      </c>
      <c r="N435" s="4">
        <v>3</v>
      </c>
      <c r="O435" s="5">
        <v>300</v>
      </c>
      <c r="P435">
        <f>N435*O435</f>
        <v>900</v>
      </c>
      <c r="Q435">
        <f>(P435*$U$4)</f>
        <v>13.5</v>
      </c>
    </row>
    <row r="436" spans="1:17">
      <c r="A436" s="2">
        <v>436</v>
      </c>
      <c r="B436" s="4">
        <f>YEAR(H436)</f>
        <v>2023</v>
      </c>
      <c r="C436" s="4">
        <f>MONTH(H436)</f>
        <v>3</v>
      </c>
      <c r="D436" s="4">
        <f>DAY(H436)</f>
        <v>18</v>
      </c>
      <c r="E436" s="4" t="str">
        <f>TEXT(H436,"dddd")</f>
        <v>Saturday</v>
      </c>
      <c r="F436" s="4" t="str">
        <f t="shared" si="7"/>
        <v>March</v>
      </c>
      <c r="G436" s="4"/>
      <c r="H436" s="3">
        <v>45003</v>
      </c>
      <c r="I436" s="4" t="s">
        <v>470</v>
      </c>
      <c r="J436" s="4" t="s">
        <v>29</v>
      </c>
      <c r="K436" s="4">
        <v>45</v>
      </c>
      <c r="L436" s="4" t="str" cm="1">
        <f t="array" ref="L436">_xlfn.IFS(K436&gt;=50, "Senior", K436&gt;=30, "Adult", K436&lt;30, "Young Adult")</f>
        <v>Adult</v>
      </c>
      <c r="M436" s="4" t="s">
        <v>8</v>
      </c>
      <c r="N436" s="4">
        <v>4</v>
      </c>
      <c r="O436" s="5">
        <v>30</v>
      </c>
      <c r="P436">
        <f>N436*O436</f>
        <v>120</v>
      </c>
      <c r="Q436">
        <f>(P436*$U$4)</f>
        <v>1.7999999999999998</v>
      </c>
    </row>
    <row r="437" spans="1:17">
      <c r="A437" s="2">
        <v>437</v>
      </c>
      <c r="B437" s="4">
        <f>YEAR(H437)</f>
        <v>2023</v>
      </c>
      <c r="C437" s="4">
        <f>MONTH(H437)</f>
        <v>10</v>
      </c>
      <c r="D437" s="4">
        <f>DAY(H437)</f>
        <v>7</v>
      </c>
      <c r="E437" s="4" t="str">
        <f>TEXT(H437,"dddd")</f>
        <v>Saturday</v>
      </c>
      <c r="F437" s="4" t="str">
        <f t="shared" si="7"/>
        <v>October</v>
      </c>
      <c r="G437" s="4"/>
      <c r="H437" s="3">
        <v>45206</v>
      </c>
      <c r="I437" s="4" t="s">
        <v>471</v>
      </c>
      <c r="J437" s="4" t="s">
        <v>29</v>
      </c>
      <c r="K437" s="4">
        <v>45</v>
      </c>
      <c r="L437" s="4" t="str" cm="1">
        <f t="array" ref="L437">_xlfn.IFS(K437&gt;=50, "Senior", K437&gt;=30, "Adult", K437&lt;30, "Young Adult")</f>
        <v>Adult</v>
      </c>
      <c r="M437" s="4" t="s">
        <v>10</v>
      </c>
      <c r="N437" s="4">
        <v>4</v>
      </c>
      <c r="O437" s="5">
        <v>300</v>
      </c>
      <c r="P437">
        <f>N437*O437</f>
        <v>1200</v>
      </c>
      <c r="Q437">
        <f>(P437*$U$4)</f>
        <v>18</v>
      </c>
    </row>
    <row r="438" spans="1:17">
      <c r="A438" s="2">
        <v>438</v>
      </c>
      <c r="B438" s="4">
        <f>YEAR(H438)</f>
        <v>2023</v>
      </c>
      <c r="C438" s="4">
        <f>MONTH(H438)</f>
        <v>1</v>
      </c>
      <c r="D438" s="4">
        <f>DAY(H438)</f>
        <v>19</v>
      </c>
      <c r="E438" s="4" t="str">
        <f>TEXT(H438,"dddd")</f>
        <v>Thursday</v>
      </c>
      <c r="F438" s="4" t="str">
        <f t="shared" si="7"/>
        <v>January</v>
      </c>
      <c r="G438" s="4"/>
      <c r="H438" s="3">
        <v>44945</v>
      </c>
      <c r="I438" s="4" t="s">
        <v>472</v>
      </c>
      <c r="J438" s="4" t="s">
        <v>29</v>
      </c>
      <c r="K438" s="4">
        <v>45</v>
      </c>
      <c r="L438" s="4" t="str" cm="1">
        <f t="array" ref="L438">_xlfn.IFS(K438&gt;=50, "Senior", K438&gt;=30, "Adult", K438&lt;30, "Young Adult")</f>
        <v>Adult</v>
      </c>
      <c r="M438" s="4" t="s">
        <v>8</v>
      </c>
      <c r="N438" s="4">
        <v>1</v>
      </c>
      <c r="O438" s="5">
        <v>30</v>
      </c>
      <c r="P438">
        <f>N438*O438</f>
        <v>30</v>
      </c>
      <c r="Q438">
        <f>(P438*$U$4)</f>
        <v>0.44999999999999996</v>
      </c>
    </row>
    <row r="439" spans="1:17">
      <c r="A439" s="2">
        <v>439</v>
      </c>
      <c r="B439" s="4">
        <f>YEAR(H439)</f>
        <v>2023</v>
      </c>
      <c r="C439" s="4">
        <f>MONTH(H439)</f>
        <v>7</v>
      </c>
      <c r="D439" s="4">
        <f>DAY(H439)</f>
        <v>9</v>
      </c>
      <c r="E439" s="4" t="str">
        <f>TEXT(H439,"dddd")</f>
        <v>Sunday</v>
      </c>
      <c r="F439" s="4" t="str">
        <f t="shared" si="7"/>
        <v>July</v>
      </c>
      <c r="G439" s="4"/>
      <c r="H439" s="3">
        <v>45116</v>
      </c>
      <c r="I439" s="4" t="s">
        <v>473</v>
      </c>
      <c r="J439" s="4" t="s">
        <v>27</v>
      </c>
      <c r="K439" s="4">
        <v>45</v>
      </c>
      <c r="L439" s="4" t="str" cm="1">
        <f t="array" ref="L439">_xlfn.IFS(K439&gt;=50, "Senior", K439&gt;=30, "Adult", K439&lt;30, "Young Adult")</f>
        <v>Adult</v>
      </c>
      <c r="M439" s="4" t="s">
        <v>8</v>
      </c>
      <c r="N439" s="4">
        <v>3</v>
      </c>
      <c r="O439" s="5">
        <v>25</v>
      </c>
      <c r="P439">
        <f>N439*O439</f>
        <v>75</v>
      </c>
      <c r="Q439">
        <f>(P439*$U$4)</f>
        <v>1.125</v>
      </c>
    </row>
    <row r="440" spans="1:17">
      <c r="A440" s="2">
        <v>440</v>
      </c>
      <c r="B440" s="4">
        <f>YEAR(H440)</f>
        <v>2023</v>
      </c>
      <c r="C440" s="4">
        <f>MONTH(H440)</f>
        <v>10</v>
      </c>
      <c r="D440" s="4">
        <f>DAY(H440)</f>
        <v>26</v>
      </c>
      <c r="E440" s="4" t="str">
        <f>TEXT(H440,"dddd")</f>
        <v>Thursday</v>
      </c>
      <c r="F440" s="4" t="str">
        <f t="shared" si="7"/>
        <v>October</v>
      </c>
      <c r="G440" s="4"/>
      <c r="H440" s="3">
        <v>45225</v>
      </c>
      <c r="I440" s="4" t="s">
        <v>474</v>
      </c>
      <c r="J440" s="4" t="s">
        <v>27</v>
      </c>
      <c r="K440" s="4">
        <v>45</v>
      </c>
      <c r="L440" s="4" t="str" cm="1">
        <f t="array" ref="L440">_xlfn.IFS(K440&gt;=50, "Senior", K440&gt;=30, "Adult", K440&lt;30, "Young Adult")</f>
        <v>Adult</v>
      </c>
      <c r="M440" s="4" t="s">
        <v>8</v>
      </c>
      <c r="N440" s="4">
        <v>2</v>
      </c>
      <c r="O440" s="5">
        <v>300</v>
      </c>
      <c r="P440">
        <f>N440*O440</f>
        <v>600</v>
      </c>
      <c r="Q440">
        <f>(P440*$U$4)</f>
        <v>9</v>
      </c>
    </row>
    <row r="441" spans="1:17">
      <c r="A441" s="2">
        <v>441</v>
      </c>
      <c r="B441" s="4">
        <f>YEAR(H441)</f>
        <v>2023</v>
      </c>
      <c r="C441" s="4">
        <f>MONTH(H441)</f>
        <v>10</v>
      </c>
      <c r="D441" s="4">
        <f>DAY(H441)</f>
        <v>10</v>
      </c>
      <c r="E441" s="4" t="str">
        <f>TEXT(H441,"dddd")</f>
        <v>Tuesday</v>
      </c>
      <c r="F441" s="4" t="str">
        <f t="shared" si="7"/>
        <v>October</v>
      </c>
      <c r="G441" s="4"/>
      <c r="H441" s="3">
        <v>45209</v>
      </c>
      <c r="I441" s="4" t="s">
        <v>475</v>
      </c>
      <c r="J441" s="4" t="s">
        <v>27</v>
      </c>
      <c r="K441" s="4">
        <v>45</v>
      </c>
      <c r="L441" s="4" t="str" cm="1">
        <f t="array" ref="L441">_xlfn.IFS(K441&gt;=50, "Senior", K441&gt;=30, "Adult", K441&lt;30, "Young Adult")</f>
        <v>Adult</v>
      </c>
      <c r="M441" s="4" t="s">
        <v>3</v>
      </c>
      <c r="N441" s="4">
        <v>4</v>
      </c>
      <c r="O441" s="5">
        <v>300</v>
      </c>
      <c r="P441">
        <f>N441*O441</f>
        <v>1200</v>
      </c>
      <c r="Q441">
        <f>(P441*$U$4)</f>
        <v>18</v>
      </c>
    </row>
    <row r="442" spans="1:17">
      <c r="A442" s="2">
        <v>442</v>
      </c>
      <c r="B442" s="4">
        <f>YEAR(H442)</f>
        <v>2023</v>
      </c>
      <c r="C442" s="4">
        <f>MONTH(H442)</f>
        <v>3</v>
      </c>
      <c r="D442" s="4">
        <f>DAY(H442)</f>
        <v>17</v>
      </c>
      <c r="E442" s="4" t="str">
        <f>TEXT(H442,"dddd")</f>
        <v>Friday</v>
      </c>
      <c r="F442" s="4" t="str">
        <f t="shared" si="7"/>
        <v>March</v>
      </c>
      <c r="G442" s="4"/>
      <c r="H442" s="3">
        <v>45002</v>
      </c>
      <c r="I442" s="4" t="s">
        <v>476</v>
      </c>
      <c r="J442" s="4" t="s">
        <v>29</v>
      </c>
      <c r="K442" s="4">
        <v>44</v>
      </c>
      <c r="L442" s="4" t="str" cm="1">
        <f t="array" ref="L442">_xlfn.IFS(K442&gt;=50, "Senior", K442&gt;=30, "Adult", K442&lt;30, "Young Adult")</f>
        <v>Adult</v>
      </c>
      <c r="M442" s="4" t="s">
        <v>8</v>
      </c>
      <c r="N442" s="4">
        <v>4</v>
      </c>
      <c r="O442" s="5">
        <v>25</v>
      </c>
      <c r="P442">
        <f>N442*O442</f>
        <v>100</v>
      </c>
      <c r="Q442">
        <f>(P442*$U$4)</f>
        <v>1.5</v>
      </c>
    </row>
    <row r="443" spans="1:17">
      <c r="A443" s="2">
        <v>443</v>
      </c>
      <c r="B443" s="4">
        <f>YEAR(H443)</f>
        <v>2023</v>
      </c>
      <c r="C443" s="4">
        <f>MONTH(H443)</f>
        <v>8</v>
      </c>
      <c r="D443" s="4">
        <f>DAY(H443)</f>
        <v>9</v>
      </c>
      <c r="E443" s="4" t="str">
        <f>TEXT(H443,"dddd")</f>
        <v>Wednesday</v>
      </c>
      <c r="F443" s="4" t="str">
        <f t="shared" si="7"/>
        <v>August</v>
      </c>
      <c r="G443" s="4"/>
      <c r="H443" s="3">
        <v>45147</v>
      </c>
      <c r="I443" s="4" t="s">
        <v>477</v>
      </c>
      <c r="J443" s="4" t="s">
        <v>27</v>
      </c>
      <c r="K443" s="4">
        <v>44</v>
      </c>
      <c r="L443" s="4" t="str" cm="1">
        <f t="array" ref="L443">_xlfn.IFS(K443&gt;=50, "Senior", K443&gt;=30, "Adult", K443&lt;30, "Young Adult")</f>
        <v>Adult</v>
      </c>
      <c r="M443" s="4" t="s">
        <v>8</v>
      </c>
      <c r="N443" s="4">
        <v>2</v>
      </c>
      <c r="O443" s="5">
        <v>300</v>
      </c>
      <c r="P443">
        <f>N443*O443</f>
        <v>600</v>
      </c>
      <c r="Q443">
        <f>(P443*$U$4)</f>
        <v>9</v>
      </c>
    </row>
    <row r="444" spans="1:17">
      <c r="A444" s="2">
        <v>444</v>
      </c>
      <c r="B444" s="4">
        <f>YEAR(H444)</f>
        <v>2023</v>
      </c>
      <c r="C444" s="4">
        <f>MONTH(H444)</f>
        <v>3</v>
      </c>
      <c r="D444" s="4">
        <f>DAY(H444)</f>
        <v>7</v>
      </c>
      <c r="E444" s="4" t="str">
        <f>TEXT(H444,"dddd")</f>
        <v>Tuesday</v>
      </c>
      <c r="F444" s="4" t="str">
        <f t="shared" si="7"/>
        <v>March</v>
      </c>
      <c r="G444" s="4"/>
      <c r="H444" s="3">
        <v>44992</v>
      </c>
      <c r="I444" s="4" t="s">
        <v>478</v>
      </c>
      <c r="J444" s="4" t="s">
        <v>29</v>
      </c>
      <c r="K444" s="4">
        <v>44</v>
      </c>
      <c r="L444" s="4" t="str" cm="1">
        <f t="array" ref="L444">_xlfn.IFS(K444&gt;=50, "Senior", K444&gt;=30, "Adult", K444&lt;30, "Young Adult")</f>
        <v>Adult</v>
      </c>
      <c r="M444" s="4" t="s">
        <v>8</v>
      </c>
      <c r="N444" s="4">
        <v>3</v>
      </c>
      <c r="O444" s="5">
        <v>30</v>
      </c>
      <c r="P444">
        <f>N444*O444</f>
        <v>90</v>
      </c>
      <c r="Q444">
        <f>(P444*$U$4)</f>
        <v>1.3499999999999999</v>
      </c>
    </row>
    <row r="445" spans="1:17">
      <c r="A445" s="2">
        <v>445</v>
      </c>
      <c r="B445" s="4">
        <f>YEAR(H445)</f>
        <v>2023</v>
      </c>
      <c r="C445" s="4">
        <f>MONTH(H445)</f>
        <v>1</v>
      </c>
      <c r="D445" s="4">
        <f>DAY(H445)</f>
        <v>22</v>
      </c>
      <c r="E445" s="4" t="str">
        <f>TEXT(H445,"dddd")</f>
        <v>Sunday</v>
      </c>
      <c r="F445" s="4" t="str">
        <f t="shared" si="7"/>
        <v>January</v>
      </c>
      <c r="G445" s="4"/>
      <c r="H445" s="3">
        <v>44948</v>
      </c>
      <c r="I445" s="4" t="s">
        <v>479</v>
      </c>
      <c r="J445" s="4" t="s">
        <v>29</v>
      </c>
      <c r="K445" s="4">
        <v>44</v>
      </c>
      <c r="L445" s="4" t="str" cm="1">
        <f t="array" ref="L445">_xlfn.IFS(K445&gt;=50, "Senior", K445&gt;=30, "Adult", K445&lt;30, "Young Adult")</f>
        <v>Adult</v>
      </c>
      <c r="M445" s="4" t="s">
        <v>10</v>
      </c>
      <c r="N445" s="4">
        <v>1</v>
      </c>
      <c r="O445" s="5">
        <v>300</v>
      </c>
      <c r="P445">
        <f>N445*O445</f>
        <v>300</v>
      </c>
      <c r="Q445">
        <f>(P445*$U$4)</f>
        <v>4.5</v>
      </c>
    </row>
    <row r="446" spans="1:17">
      <c r="A446" s="2">
        <v>446</v>
      </c>
      <c r="B446" s="4">
        <f>YEAR(H446)</f>
        <v>2023</v>
      </c>
      <c r="C446" s="4">
        <f>MONTH(H446)</f>
        <v>6</v>
      </c>
      <c r="D446" s="4">
        <f>DAY(H446)</f>
        <v>7</v>
      </c>
      <c r="E446" s="4" t="str">
        <f>TEXT(H446,"dddd")</f>
        <v>Wednesday</v>
      </c>
      <c r="F446" s="4" t="str">
        <f t="shared" si="7"/>
        <v>June</v>
      </c>
      <c r="G446" s="4"/>
      <c r="H446" s="3">
        <v>45084</v>
      </c>
      <c r="I446" s="4" t="s">
        <v>480</v>
      </c>
      <c r="J446" s="4" t="s">
        <v>27</v>
      </c>
      <c r="K446" s="4">
        <v>44</v>
      </c>
      <c r="L446" s="4" t="str" cm="1">
        <f t="array" ref="L446">_xlfn.IFS(K446&gt;=50, "Senior", K446&gt;=30, "Adult", K446&lt;30, "Young Adult")</f>
        <v>Adult</v>
      </c>
      <c r="M446" s="4" t="s">
        <v>10</v>
      </c>
      <c r="N446" s="4">
        <v>1</v>
      </c>
      <c r="O446" s="5">
        <v>50</v>
      </c>
      <c r="P446">
        <f>N446*O446</f>
        <v>50</v>
      </c>
      <c r="Q446">
        <f>(P446*$U$4)</f>
        <v>0.75</v>
      </c>
    </row>
    <row r="447" spans="1:17">
      <c r="A447" s="2">
        <v>447</v>
      </c>
      <c r="B447" s="4">
        <f>YEAR(H447)</f>
        <v>2023</v>
      </c>
      <c r="C447" s="4">
        <f>MONTH(H447)</f>
        <v>7</v>
      </c>
      <c r="D447" s="4">
        <f>DAY(H447)</f>
        <v>6</v>
      </c>
      <c r="E447" s="4" t="str">
        <f>TEXT(H447,"dddd")</f>
        <v>Thursday</v>
      </c>
      <c r="F447" s="4" t="str">
        <f t="shared" si="7"/>
        <v>July</v>
      </c>
      <c r="G447" s="4"/>
      <c r="H447" s="3">
        <v>45113</v>
      </c>
      <c r="I447" s="4" t="s">
        <v>481</v>
      </c>
      <c r="J447" s="4" t="s">
        <v>27</v>
      </c>
      <c r="K447" s="4">
        <v>44</v>
      </c>
      <c r="L447" s="4" t="str" cm="1">
        <f t="array" ref="L447">_xlfn.IFS(K447&gt;=50, "Senior", K447&gt;=30, "Adult", K447&lt;30, "Young Adult")</f>
        <v>Adult</v>
      </c>
      <c r="M447" s="4" t="s">
        <v>3</v>
      </c>
      <c r="N447" s="4">
        <v>4</v>
      </c>
      <c r="O447" s="5">
        <v>500</v>
      </c>
      <c r="P447">
        <f>N447*O447</f>
        <v>2000</v>
      </c>
      <c r="Q447">
        <f>(P447*$U$4)</f>
        <v>30</v>
      </c>
    </row>
    <row r="448" spans="1:17">
      <c r="A448" s="2">
        <v>448</v>
      </c>
      <c r="B448" s="4">
        <f>YEAR(H448)</f>
        <v>2023</v>
      </c>
      <c r="C448" s="4">
        <f>MONTH(H448)</f>
        <v>1</v>
      </c>
      <c r="D448" s="4">
        <f>DAY(H448)</f>
        <v>21</v>
      </c>
      <c r="E448" s="4" t="str">
        <f>TEXT(H448,"dddd")</f>
        <v>Saturday</v>
      </c>
      <c r="F448" s="4" t="str">
        <f t="shared" si="7"/>
        <v>January</v>
      </c>
      <c r="G448" s="4"/>
      <c r="H448" s="3">
        <v>44947</v>
      </c>
      <c r="I448" s="4" t="s">
        <v>482</v>
      </c>
      <c r="J448" s="4" t="s">
        <v>29</v>
      </c>
      <c r="K448" s="4">
        <v>44</v>
      </c>
      <c r="L448" s="4" t="str" cm="1">
        <f t="array" ref="L448">_xlfn.IFS(K448&gt;=50, "Senior", K448&gt;=30, "Adult", K448&lt;30, "Young Adult")</f>
        <v>Adult</v>
      </c>
      <c r="M448" s="4" t="s">
        <v>3</v>
      </c>
      <c r="N448" s="4">
        <v>2</v>
      </c>
      <c r="O448" s="5">
        <v>30</v>
      </c>
      <c r="P448">
        <f>N448*O448</f>
        <v>60</v>
      </c>
      <c r="Q448">
        <f>(P448*$U$4)</f>
        <v>0.89999999999999991</v>
      </c>
    </row>
    <row r="449" spans="1:17">
      <c r="A449" s="2">
        <v>449</v>
      </c>
      <c r="B449" s="4">
        <f>YEAR(H449)</f>
        <v>2023</v>
      </c>
      <c r="C449" s="4">
        <f>MONTH(H449)</f>
        <v>7</v>
      </c>
      <c r="D449" s="4">
        <f>DAY(H449)</f>
        <v>3</v>
      </c>
      <c r="E449" s="4" t="str">
        <f>TEXT(H449,"dddd")</f>
        <v>Monday</v>
      </c>
      <c r="F449" s="4" t="str">
        <f t="shared" si="7"/>
        <v>July</v>
      </c>
      <c r="G449" s="4"/>
      <c r="H449" s="3">
        <v>45110</v>
      </c>
      <c r="I449" s="4" t="s">
        <v>483</v>
      </c>
      <c r="J449" s="4" t="s">
        <v>27</v>
      </c>
      <c r="K449" s="4">
        <v>44</v>
      </c>
      <c r="L449" s="4" t="str" cm="1">
        <f t="array" ref="L449">_xlfn.IFS(K449&gt;=50, "Senior", K449&gt;=30, "Adult", K449&lt;30, "Young Adult")</f>
        <v>Adult</v>
      </c>
      <c r="M449" s="4" t="s">
        <v>10</v>
      </c>
      <c r="N449" s="4">
        <v>4</v>
      </c>
      <c r="O449" s="5">
        <v>50</v>
      </c>
      <c r="P449">
        <f>N449*O449</f>
        <v>200</v>
      </c>
      <c r="Q449">
        <f>(P449*$U$4)</f>
        <v>3</v>
      </c>
    </row>
    <row r="450" spans="1:17">
      <c r="A450" s="2">
        <v>450</v>
      </c>
      <c r="B450" s="4">
        <f>YEAR(H450)</f>
        <v>2023</v>
      </c>
      <c r="C450" s="4">
        <f>MONTH(H450)</f>
        <v>4</v>
      </c>
      <c r="D450" s="4">
        <f>DAY(H450)</f>
        <v>18</v>
      </c>
      <c r="E450" s="4" t="str">
        <f>TEXT(H450,"dddd")</f>
        <v>Tuesday</v>
      </c>
      <c r="F450" s="4" t="str">
        <f t="shared" si="7"/>
        <v>April</v>
      </c>
      <c r="G450" s="4"/>
      <c r="H450" s="3">
        <v>45034</v>
      </c>
      <c r="I450" s="4" t="s">
        <v>484</v>
      </c>
      <c r="J450" s="4" t="s">
        <v>29</v>
      </c>
      <c r="K450" s="4">
        <v>44</v>
      </c>
      <c r="L450" s="4" t="str" cm="1">
        <f t="array" ref="L450">_xlfn.IFS(K450&gt;=50, "Senior", K450&gt;=30, "Adult", K450&lt;30, "Young Adult")</f>
        <v>Adult</v>
      </c>
      <c r="M450" s="4" t="s">
        <v>3</v>
      </c>
      <c r="N450" s="4">
        <v>2</v>
      </c>
      <c r="O450" s="5">
        <v>25</v>
      </c>
      <c r="P450">
        <f>N450*O450</f>
        <v>50</v>
      </c>
      <c r="Q450">
        <f>(P450*$U$4)</f>
        <v>0.75</v>
      </c>
    </row>
    <row r="451" spans="1:17">
      <c r="A451" s="2">
        <v>451</v>
      </c>
      <c r="B451" s="4">
        <f>YEAR(H451)</f>
        <v>2023</v>
      </c>
      <c r="C451" s="4">
        <f>MONTH(H451)</f>
        <v>12</v>
      </c>
      <c r="D451" s="4">
        <f>DAY(H451)</f>
        <v>16</v>
      </c>
      <c r="E451" s="4" t="str">
        <f>TEXT(H451,"dddd")</f>
        <v>Saturday</v>
      </c>
      <c r="F451" s="4" t="str">
        <f t="shared" ref="F451:F514" si="8">TEXT(H451,"mmmm")</f>
        <v>December</v>
      </c>
      <c r="G451" s="4"/>
      <c r="H451" s="3">
        <v>45276</v>
      </c>
      <c r="I451" s="4" t="s">
        <v>485</v>
      </c>
      <c r="J451" s="4" t="s">
        <v>29</v>
      </c>
      <c r="K451" s="4">
        <v>44</v>
      </c>
      <c r="L451" s="4" t="str" cm="1">
        <f t="array" ref="L451">_xlfn.IFS(K451&gt;=50, "Senior", K451&gt;=30, "Adult", K451&lt;30, "Young Adult")</f>
        <v>Adult</v>
      </c>
      <c r="M451" s="4" t="s">
        <v>10</v>
      </c>
      <c r="N451" s="4">
        <v>1</v>
      </c>
      <c r="O451" s="5">
        <v>30</v>
      </c>
      <c r="P451">
        <f>N451*O451</f>
        <v>30</v>
      </c>
      <c r="Q451">
        <f>(P451*$U$4)</f>
        <v>0.44999999999999996</v>
      </c>
    </row>
    <row r="452" spans="1:17">
      <c r="A452" s="2">
        <v>452</v>
      </c>
      <c r="B452" s="4">
        <f>YEAR(H452)</f>
        <v>2023</v>
      </c>
      <c r="C452" s="4">
        <f>MONTH(H452)</f>
        <v>5</v>
      </c>
      <c r="D452" s="4">
        <f>DAY(H452)</f>
        <v>8</v>
      </c>
      <c r="E452" s="4" t="str">
        <f>TEXT(H452,"dddd")</f>
        <v>Monday</v>
      </c>
      <c r="F452" s="4" t="str">
        <f t="shared" si="8"/>
        <v>May</v>
      </c>
      <c r="G452" s="4"/>
      <c r="H452" s="3">
        <v>45054</v>
      </c>
      <c r="I452" s="4" t="s">
        <v>486</v>
      </c>
      <c r="J452" s="4" t="s">
        <v>29</v>
      </c>
      <c r="K452" s="4">
        <v>44</v>
      </c>
      <c r="L452" s="4" t="str" cm="1">
        <f t="array" ref="L452">_xlfn.IFS(K452&gt;=50, "Senior", K452&gt;=30, "Adult", K452&lt;30, "Young Adult")</f>
        <v>Adult</v>
      </c>
      <c r="M452" s="4" t="s">
        <v>8</v>
      </c>
      <c r="N452" s="4">
        <v>3</v>
      </c>
      <c r="O452" s="5">
        <v>500</v>
      </c>
      <c r="P452">
        <f>N452*O452</f>
        <v>1500</v>
      </c>
      <c r="Q452">
        <f>(P452*$U$4)</f>
        <v>22.5</v>
      </c>
    </row>
    <row r="453" spans="1:17">
      <c r="A453" s="2">
        <v>453</v>
      </c>
      <c r="B453" s="4">
        <f>YEAR(H453)</f>
        <v>2023</v>
      </c>
      <c r="C453" s="4">
        <f>MONTH(H453)</f>
        <v>12</v>
      </c>
      <c r="D453" s="4">
        <f>DAY(H453)</f>
        <v>8</v>
      </c>
      <c r="E453" s="4" t="str">
        <f>TEXT(H453,"dddd")</f>
        <v>Friday</v>
      </c>
      <c r="F453" s="4" t="str">
        <f t="shared" si="8"/>
        <v>December</v>
      </c>
      <c r="G453" s="4"/>
      <c r="H453" s="3">
        <v>45268</v>
      </c>
      <c r="I453" s="4" t="s">
        <v>487</v>
      </c>
      <c r="J453" s="4" t="s">
        <v>29</v>
      </c>
      <c r="K453" s="4">
        <v>44</v>
      </c>
      <c r="L453" s="4" t="str" cm="1">
        <f t="array" ref="L453">_xlfn.IFS(K453&gt;=50, "Senior", K453&gt;=30, "Adult", K453&lt;30, "Young Adult")</f>
        <v>Adult</v>
      </c>
      <c r="M453" s="4" t="s">
        <v>8</v>
      </c>
      <c r="N453" s="4">
        <v>2</v>
      </c>
      <c r="O453" s="5">
        <v>500</v>
      </c>
      <c r="P453">
        <f>N453*O453</f>
        <v>1000</v>
      </c>
      <c r="Q453">
        <f>(P453*$U$4)</f>
        <v>15</v>
      </c>
    </row>
    <row r="454" spans="1:17">
      <c r="A454" s="2">
        <v>454</v>
      </c>
      <c r="B454" s="4">
        <f>YEAR(H454)</f>
        <v>2023</v>
      </c>
      <c r="C454" s="4">
        <f>MONTH(H454)</f>
        <v>2</v>
      </c>
      <c r="D454" s="4">
        <f>DAY(H454)</f>
        <v>22</v>
      </c>
      <c r="E454" s="4" t="str">
        <f>TEXT(H454,"dddd")</f>
        <v>Wednesday</v>
      </c>
      <c r="F454" s="4" t="str">
        <f t="shared" si="8"/>
        <v>February</v>
      </c>
      <c r="G454" s="4"/>
      <c r="H454" s="3">
        <v>44979</v>
      </c>
      <c r="I454" s="4" t="s">
        <v>488</v>
      </c>
      <c r="J454" s="4" t="s">
        <v>29</v>
      </c>
      <c r="K454" s="4">
        <v>44</v>
      </c>
      <c r="L454" s="4" t="str" cm="1">
        <f t="array" ref="L454">_xlfn.IFS(K454&gt;=50, "Senior", K454&gt;=30, "Adult", K454&lt;30, "Young Adult")</f>
        <v>Adult</v>
      </c>
      <c r="M454" s="4" t="s">
        <v>3</v>
      </c>
      <c r="N454" s="4">
        <v>1</v>
      </c>
      <c r="O454" s="5">
        <v>25</v>
      </c>
      <c r="P454">
        <f>N454*O454</f>
        <v>25</v>
      </c>
      <c r="Q454">
        <f>(P454*$U$4)</f>
        <v>0.375</v>
      </c>
    </row>
    <row r="455" spans="1:17">
      <c r="A455" s="2">
        <v>455</v>
      </c>
      <c r="B455" s="4">
        <f>YEAR(H455)</f>
        <v>2023</v>
      </c>
      <c r="C455" s="4">
        <f>MONTH(H455)</f>
        <v>7</v>
      </c>
      <c r="D455" s="4">
        <f>DAY(H455)</f>
        <v>1</v>
      </c>
      <c r="E455" s="4" t="str">
        <f>TEXT(H455,"dddd")</f>
        <v>Saturday</v>
      </c>
      <c r="F455" s="4" t="str">
        <f t="shared" si="8"/>
        <v>July</v>
      </c>
      <c r="G455" s="4"/>
      <c r="H455" s="3">
        <v>45108</v>
      </c>
      <c r="I455" s="4" t="s">
        <v>489</v>
      </c>
      <c r="J455" s="4" t="s">
        <v>27</v>
      </c>
      <c r="K455" s="4">
        <v>44</v>
      </c>
      <c r="L455" s="4" t="str" cm="1">
        <f t="array" ref="L455">_xlfn.IFS(K455&gt;=50, "Senior", K455&gt;=30, "Adult", K455&lt;30, "Young Adult")</f>
        <v>Adult</v>
      </c>
      <c r="M455" s="4" t="s">
        <v>10</v>
      </c>
      <c r="N455" s="4">
        <v>4</v>
      </c>
      <c r="O455" s="5">
        <v>25</v>
      </c>
      <c r="P455">
        <f>N455*O455</f>
        <v>100</v>
      </c>
      <c r="Q455">
        <f>(P455*$U$4)</f>
        <v>1.5</v>
      </c>
    </row>
    <row r="456" spans="1:17">
      <c r="A456" s="2">
        <v>456</v>
      </c>
      <c r="B456" s="4">
        <f>YEAR(H456)</f>
        <v>2023</v>
      </c>
      <c r="C456" s="4">
        <f>MONTH(H456)</f>
        <v>10</v>
      </c>
      <c r="D456" s="4">
        <f>DAY(H456)</f>
        <v>14</v>
      </c>
      <c r="E456" s="4" t="str">
        <f>TEXT(H456,"dddd")</f>
        <v>Saturday</v>
      </c>
      <c r="F456" s="4" t="str">
        <f t="shared" si="8"/>
        <v>October</v>
      </c>
      <c r="G456" s="4"/>
      <c r="H456" s="3">
        <v>45213</v>
      </c>
      <c r="I456" s="4" t="s">
        <v>490</v>
      </c>
      <c r="J456" s="4" t="s">
        <v>27</v>
      </c>
      <c r="K456" s="4">
        <v>44</v>
      </c>
      <c r="L456" s="4" t="str" cm="1">
        <f t="array" ref="L456">_xlfn.IFS(K456&gt;=50, "Senior", K456&gt;=30, "Adult", K456&lt;30, "Young Adult")</f>
        <v>Adult</v>
      </c>
      <c r="M456" s="4" t="s">
        <v>10</v>
      </c>
      <c r="N456" s="4">
        <v>2</v>
      </c>
      <c r="O456" s="5">
        <v>30</v>
      </c>
      <c r="P456">
        <f>N456*O456</f>
        <v>60</v>
      </c>
      <c r="Q456">
        <f>(P456*$U$4)</f>
        <v>0.89999999999999991</v>
      </c>
    </row>
    <row r="457" spans="1:17">
      <c r="A457" s="2">
        <v>457</v>
      </c>
      <c r="B457" s="4">
        <f>YEAR(H457)</f>
        <v>2023</v>
      </c>
      <c r="C457" s="4">
        <f>MONTH(H457)</f>
        <v>7</v>
      </c>
      <c r="D457" s="4">
        <f>DAY(H457)</f>
        <v>28</v>
      </c>
      <c r="E457" s="4" t="str">
        <f>TEXT(H457,"dddd")</f>
        <v>Friday</v>
      </c>
      <c r="F457" s="4" t="str">
        <f t="shared" si="8"/>
        <v>July</v>
      </c>
      <c r="G457" s="4"/>
      <c r="H457" s="3">
        <v>45135</v>
      </c>
      <c r="I457" s="4" t="s">
        <v>491</v>
      </c>
      <c r="J457" s="4" t="s">
        <v>29</v>
      </c>
      <c r="K457" s="4">
        <v>43</v>
      </c>
      <c r="L457" s="4" t="str" cm="1">
        <f t="array" ref="L457">_xlfn.IFS(K457&gt;=50, "Senior", K457&gt;=30, "Adult", K457&lt;30, "Young Adult")</f>
        <v>Adult</v>
      </c>
      <c r="M457" s="4" t="s">
        <v>3</v>
      </c>
      <c r="N457" s="4">
        <v>3</v>
      </c>
      <c r="O457" s="5">
        <v>300</v>
      </c>
      <c r="P457">
        <f>N457*O457</f>
        <v>900</v>
      </c>
      <c r="Q457">
        <f>(P457*$U$4)</f>
        <v>13.5</v>
      </c>
    </row>
    <row r="458" spans="1:17">
      <c r="A458" s="2">
        <v>458</v>
      </c>
      <c r="B458" s="4">
        <f>YEAR(H458)</f>
        <v>2023</v>
      </c>
      <c r="C458" s="4">
        <f>MONTH(H458)</f>
        <v>11</v>
      </c>
      <c r="D458" s="4">
        <f>DAY(H458)</f>
        <v>14</v>
      </c>
      <c r="E458" s="4" t="str">
        <f>TEXT(H458,"dddd")</f>
        <v>Tuesday</v>
      </c>
      <c r="F458" s="4" t="str">
        <f t="shared" si="8"/>
        <v>November</v>
      </c>
      <c r="G458" s="4"/>
      <c r="H458" s="3">
        <v>45244</v>
      </c>
      <c r="I458" s="4" t="s">
        <v>492</v>
      </c>
      <c r="J458" s="4" t="s">
        <v>29</v>
      </c>
      <c r="K458" s="4">
        <v>43</v>
      </c>
      <c r="L458" s="4" t="str" cm="1">
        <f t="array" ref="L458">_xlfn.IFS(K458&gt;=50, "Senior", K458&gt;=30, "Adult", K458&lt;30, "Young Adult")</f>
        <v>Adult</v>
      </c>
      <c r="M458" s="4" t="s">
        <v>10</v>
      </c>
      <c r="N458" s="4">
        <v>4</v>
      </c>
      <c r="O458" s="5">
        <v>25</v>
      </c>
      <c r="P458">
        <f>N458*O458</f>
        <v>100</v>
      </c>
      <c r="Q458">
        <f>(P458*$U$4)</f>
        <v>1.5</v>
      </c>
    </row>
    <row r="459" spans="1:17">
      <c r="A459" s="2">
        <v>459</v>
      </c>
      <c r="B459" s="4">
        <f>YEAR(H459)</f>
        <v>2023</v>
      </c>
      <c r="C459" s="4">
        <f>MONTH(H459)</f>
        <v>3</v>
      </c>
      <c r="D459" s="4">
        <f>DAY(H459)</f>
        <v>21</v>
      </c>
      <c r="E459" s="4" t="str">
        <f>TEXT(H459,"dddd")</f>
        <v>Tuesday</v>
      </c>
      <c r="F459" s="4" t="str">
        <f t="shared" si="8"/>
        <v>March</v>
      </c>
      <c r="G459" s="4"/>
      <c r="H459" s="3">
        <v>45006</v>
      </c>
      <c r="I459" s="4" t="s">
        <v>493</v>
      </c>
      <c r="J459" s="4" t="s">
        <v>27</v>
      </c>
      <c r="K459" s="4">
        <v>43</v>
      </c>
      <c r="L459" s="4" t="str" cm="1">
        <f t="array" ref="L459">_xlfn.IFS(K459&gt;=50, "Senior", K459&gt;=30, "Adult", K459&lt;30, "Young Adult")</f>
        <v>Adult</v>
      </c>
      <c r="M459" s="4" t="s">
        <v>8</v>
      </c>
      <c r="N459" s="4">
        <v>4</v>
      </c>
      <c r="O459" s="5">
        <v>300</v>
      </c>
      <c r="P459">
        <f>N459*O459</f>
        <v>1200</v>
      </c>
      <c r="Q459">
        <f>(P459*$U$4)</f>
        <v>18</v>
      </c>
    </row>
    <row r="460" spans="1:17">
      <c r="A460" s="2">
        <v>460</v>
      </c>
      <c r="B460" s="4">
        <f>YEAR(H460)</f>
        <v>2023</v>
      </c>
      <c r="C460" s="4">
        <f>MONTH(H460)</f>
        <v>5</v>
      </c>
      <c r="D460" s="4">
        <f>DAY(H460)</f>
        <v>2</v>
      </c>
      <c r="E460" s="4" t="str">
        <f>TEXT(H460,"dddd")</f>
        <v>Tuesday</v>
      </c>
      <c r="F460" s="4" t="str">
        <f t="shared" si="8"/>
        <v>May</v>
      </c>
      <c r="G460" s="4"/>
      <c r="H460" s="3">
        <v>45048</v>
      </c>
      <c r="I460" s="4" t="s">
        <v>494</v>
      </c>
      <c r="J460" s="4" t="s">
        <v>27</v>
      </c>
      <c r="K460" s="4">
        <v>43</v>
      </c>
      <c r="L460" s="4" t="str" cm="1">
        <f t="array" ref="L460">_xlfn.IFS(K460&gt;=50, "Senior", K460&gt;=30, "Adult", K460&lt;30, "Young Adult")</f>
        <v>Adult</v>
      </c>
      <c r="M460" s="4" t="s">
        <v>3</v>
      </c>
      <c r="N460" s="4">
        <v>1</v>
      </c>
      <c r="O460" s="5">
        <v>50</v>
      </c>
      <c r="P460">
        <f>N460*O460</f>
        <v>50</v>
      </c>
      <c r="Q460">
        <f>(P460*$U$4)</f>
        <v>0.75</v>
      </c>
    </row>
    <row r="461" spans="1:17">
      <c r="A461" s="2">
        <v>461</v>
      </c>
      <c r="B461" s="4">
        <f>YEAR(H461)</f>
        <v>2023</v>
      </c>
      <c r="C461" s="4">
        <f>MONTH(H461)</f>
        <v>3</v>
      </c>
      <c r="D461" s="4">
        <f>DAY(H461)</f>
        <v>25</v>
      </c>
      <c r="E461" s="4" t="str">
        <f>TEXT(H461,"dddd")</f>
        <v>Saturday</v>
      </c>
      <c r="F461" s="4" t="str">
        <f t="shared" si="8"/>
        <v>March</v>
      </c>
      <c r="G461" s="4"/>
      <c r="H461" s="3">
        <v>45010</v>
      </c>
      <c r="I461" s="4" t="s">
        <v>495</v>
      </c>
      <c r="J461" s="4" t="s">
        <v>29</v>
      </c>
      <c r="K461" s="4">
        <v>43</v>
      </c>
      <c r="L461" s="4" t="str" cm="1">
        <f t="array" ref="L461">_xlfn.IFS(K461&gt;=50, "Senior", K461&gt;=30, "Adult", K461&lt;30, "Young Adult")</f>
        <v>Adult</v>
      </c>
      <c r="M461" s="4" t="s">
        <v>3</v>
      </c>
      <c r="N461" s="4">
        <v>2</v>
      </c>
      <c r="O461" s="5">
        <v>500</v>
      </c>
      <c r="P461">
        <f>N461*O461</f>
        <v>1000</v>
      </c>
      <c r="Q461">
        <f>(P461*$U$4)</f>
        <v>15</v>
      </c>
    </row>
    <row r="462" spans="1:17">
      <c r="A462" s="2">
        <v>462</v>
      </c>
      <c r="B462" s="4">
        <f>YEAR(H462)</f>
        <v>2023</v>
      </c>
      <c r="C462" s="4">
        <f>MONTH(H462)</f>
        <v>4</v>
      </c>
      <c r="D462" s="4">
        <f>DAY(H462)</f>
        <v>1</v>
      </c>
      <c r="E462" s="4" t="str">
        <f>TEXT(H462,"dddd")</f>
        <v>Saturday</v>
      </c>
      <c r="F462" s="4" t="str">
        <f t="shared" si="8"/>
        <v>April</v>
      </c>
      <c r="G462" s="4"/>
      <c r="H462" s="3">
        <v>45017</v>
      </c>
      <c r="I462" s="4" t="s">
        <v>496</v>
      </c>
      <c r="J462" s="4" t="s">
        <v>27</v>
      </c>
      <c r="K462" s="4">
        <v>43</v>
      </c>
      <c r="L462" s="4" t="str" cm="1">
        <f t="array" ref="L462">_xlfn.IFS(K462&gt;=50, "Senior", K462&gt;=30, "Adult", K462&lt;30, "Young Adult")</f>
        <v>Adult</v>
      </c>
      <c r="M462" s="4" t="s">
        <v>10</v>
      </c>
      <c r="N462" s="4">
        <v>4</v>
      </c>
      <c r="O462" s="5">
        <v>300</v>
      </c>
      <c r="P462">
        <f>N462*O462</f>
        <v>1200</v>
      </c>
      <c r="Q462">
        <f>(P462*$U$4)</f>
        <v>18</v>
      </c>
    </row>
    <row r="463" spans="1:17">
      <c r="A463" s="2">
        <v>463</v>
      </c>
      <c r="B463" s="4">
        <f>YEAR(H463)</f>
        <v>2023</v>
      </c>
      <c r="C463" s="4">
        <f>MONTH(H463)</f>
        <v>7</v>
      </c>
      <c r="D463" s="4">
        <f>DAY(H463)</f>
        <v>31</v>
      </c>
      <c r="E463" s="4" t="str">
        <f>TEXT(H463,"dddd")</f>
        <v>Monday</v>
      </c>
      <c r="F463" s="4" t="str">
        <f t="shared" si="8"/>
        <v>July</v>
      </c>
      <c r="G463" s="4"/>
      <c r="H463" s="3">
        <v>45138</v>
      </c>
      <c r="I463" s="4" t="s">
        <v>497</v>
      </c>
      <c r="J463" s="4" t="s">
        <v>29</v>
      </c>
      <c r="K463" s="4">
        <v>43</v>
      </c>
      <c r="L463" s="4" t="str" cm="1">
        <f t="array" ref="L463">_xlfn.IFS(K463&gt;=50, "Senior", K463&gt;=30, "Adult", K463&lt;30, "Young Adult")</f>
        <v>Adult</v>
      </c>
      <c r="M463" s="4" t="s">
        <v>3</v>
      </c>
      <c r="N463" s="4">
        <v>3</v>
      </c>
      <c r="O463" s="5">
        <v>500</v>
      </c>
      <c r="P463">
        <f>N463*O463</f>
        <v>1500</v>
      </c>
      <c r="Q463">
        <f>(P463*$U$4)</f>
        <v>22.5</v>
      </c>
    </row>
    <row r="464" spans="1:17">
      <c r="A464" s="2">
        <v>464</v>
      </c>
      <c r="B464" s="4">
        <f>YEAR(H464)</f>
        <v>2023</v>
      </c>
      <c r="C464" s="4">
        <f>MONTH(H464)</f>
        <v>1</v>
      </c>
      <c r="D464" s="4">
        <f>DAY(H464)</f>
        <v>13</v>
      </c>
      <c r="E464" s="4" t="str">
        <f>TEXT(H464,"dddd")</f>
        <v>Friday</v>
      </c>
      <c r="F464" s="4" t="str">
        <f t="shared" si="8"/>
        <v>January</v>
      </c>
      <c r="G464" s="4"/>
      <c r="H464" s="3">
        <v>44939</v>
      </c>
      <c r="I464" s="4" t="s">
        <v>498</v>
      </c>
      <c r="J464" s="4" t="s">
        <v>27</v>
      </c>
      <c r="K464" s="4">
        <v>43</v>
      </c>
      <c r="L464" s="4" t="str" cm="1">
        <f t="array" ref="L464">_xlfn.IFS(K464&gt;=50, "Senior", K464&gt;=30, "Adult", K464&lt;30, "Young Adult")</f>
        <v>Adult</v>
      </c>
      <c r="M464" s="4" t="s">
        <v>10</v>
      </c>
      <c r="N464" s="4">
        <v>2</v>
      </c>
      <c r="O464" s="5">
        <v>300</v>
      </c>
      <c r="P464">
        <f>N464*O464</f>
        <v>600</v>
      </c>
      <c r="Q464">
        <f>(P464*$U$4)</f>
        <v>9</v>
      </c>
    </row>
    <row r="465" spans="1:17">
      <c r="A465" s="2">
        <v>465</v>
      </c>
      <c r="B465" s="4">
        <f>YEAR(H465)</f>
        <v>2023</v>
      </c>
      <c r="C465" s="4">
        <f>MONTH(H465)</f>
        <v>4</v>
      </c>
      <c r="D465" s="4">
        <f>DAY(H465)</f>
        <v>2</v>
      </c>
      <c r="E465" s="4" t="str">
        <f>TEXT(H465,"dddd")</f>
        <v>Sunday</v>
      </c>
      <c r="F465" s="4" t="str">
        <f t="shared" si="8"/>
        <v>April</v>
      </c>
      <c r="G465" s="4"/>
      <c r="H465" s="3">
        <v>45018</v>
      </c>
      <c r="I465" s="4" t="s">
        <v>499</v>
      </c>
      <c r="J465" s="4" t="s">
        <v>29</v>
      </c>
      <c r="K465" s="4">
        <v>43</v>
      </c>
      <c r="L465" s="4" t="str" cm="1">
        <f t="array" ref="L465">_xlfn.IFS(K465&gt;=50, "Senior", K465&gt;=30, "Adult", K465&lt;30, "Young Adult")</f>
        <v>Adult</v>
      </c>
      <c r="M465" s="4" t="s">
        <v>10</v>
      </c>
      <c r="N465" s="4">
        <v>3</v>
      </c>
      <c r="O465" s="5">
        <v>50</v>
      </c>
      <c r="P465">
        <f>N465*O465</f>
        <v>150</v>
      </c>
      <c r="Q465">
        <f>(P465*$U$4)</f>
        <v>2.25</v>
      </c>
    </row>
    <row r="466" spans="1:17">
      <c r="A466" s="2">
        <v>466</v>
      </c>
      <c r="B466" s="4">
        <f>YEAR(H466)</f>
        <v>2023</v>
      </c>
      <c r="C466" s="4">
        <f>MONTH(H466)</f>
        <v>6</v>
      </c>
      <c r="D466" s="4">
        <f>DAY(H466)</f>
        <v>20</v>
      </c>
      <c r="E466" s="4" t="str">
        <f>TEXT(H466,"dddd")</f>
        <v>Tuesday</v>
      </c>
      <c r="F466" s="4" t="str">
        <f t="shared" si="8"/>
        <v>June</v>
      </c>
      <c r="G466" s="4"/>
      <c r="H466" s="3">
        <v>45097</v>
      </c>
      <c r="I466" s="4" t="s">
        <v>500</v>
      </c>
      <c r="J466" s="4" t="s">
        <v>27</v>
      </c>
      <c r="K466" s="4">
        <v>43</v>
      </c>
      <c r="L466" s="4" t="str" cm="1">
        <f t="array" ref="L466">_xlfn.IFS(K466&gt;=50, "Senior", K466&gt;=30, "Adult", K466&lt;30, "Young Adult")</f>
        <v>Adult</v>
      </c>
      <c r="M466" s="4" t="s">
        <v>10</v>
      </c>
      <c r="N466" s="4">
        <v>4</v>
      </c>
      <c r="O466" s="5">
        <v>25</v>
      </c>
      <c r="P466">
        <f>N466*O466</f>
        <v>100</v>
      </c>
      <c r="Q466">
        <f>(P466*$U$4)</f>
        <v>1.5</v>
      </c>
    </row>
    <row r="467" spans="1:17">
      <c r="A467" s="2">
        <v>467</v>
      </c>
      <c r="B467" s="4">
        <f>YEAR(H467)</f>
        <v>2023</v>
      </c>
      <c r="C467" s="4">
        <f>MONTH(H467)</f>
        <v>7</v>
      </c>
      <c r="D467" s="4">
        <f>DAY(H467)</f>
        <v>30</v>
      </c>
      <c r="E467" s="4" t="str">
        <f>TEXT(H467,"dddd")</f>
        <v>Sunday</v>
      </c>
      <c r="F467" s="4" t="str">
        <f t="shared" si="8"/>
        <v>July</v>
      </c>
      <c r="G467" s="4"/>
      <c r="H467" s="3">
        <v>45137</v>
      </c>
      <c r="I467" s="4" t="s">
        <v>501</v>
      </c>
      <c r="J467" s="4" t="s">
        <v>29</v>
      </c>
      <c r="K467" s="4">
        <v>43</v>
      </c>
      <c r="L467" s="4" t="str" cm="1">
        <f t="array" ref="L467">_xlfn.IFS(K467&gt;=50, "Senior", K467&gt;=30, "Adult", K467&lt;30, "Young Adult")</f>
        <v>Adult</v>
      </c>
      <c r="M467" s="4" t="s">
        <v>10</v>
      </c>
      <c r="N467" s="4">
        <v>3</v>
      </c>
      <c r="O467" s="5">
        <v>50</v>
      </c>
      <c r="P467">
        <f>N467*O467</f>
        <v>150</v>
      </c>
      <c r="Q467">
        <f>(P467*$U$4)</f>
        <v>2.25</v>
      </c>
    </row>
    <row r="468" spans="1:17">
      <c r="A468" s="2">
        <v>468</v>
      </c>
      <c r="B468" s="4">
        <f>YEAR(H468)</f>
        <v>2023</v>
      </c>
      <c r="C468" s="4">
        <f>MONTH(H468)</f>
        <v>12</v>
      </c>
      <c r="D468" s="4">
        <f>DAY(H468)</f>
        <v>9</v>
      </c>
      <c r="E468" s="4" t="str">
        <f>TEXT(H468,"dddd")</f>
        <v>Saturday</v>
      </c>
      <c r="F468" s="4" t="str">
        <f t="shared" si="8"/>
        <v>December</v>
      </c>
      <c r="G468" s="4"/>
      <c r="H468" s="3">
        <v>45269</v>
      </c>
      <c r="I468" s="4" t="s">
        <v>502</v>
      </c>
      <c r="J468" s="4" t="s">
        <v>27</v>
      </c>
      <c r="K468" s="4">
        <v>43</v>
      </c>
      <c r="L468" s="4" t="str" cm="1">
        <f t="array" ref="L468">_xlfn.IFS(K468&gt;=50, "Senior", K468&gt;=30, "Adult", K468&lt;30, "Young Adult")</f>
        <v>Adult</v>
      </c>
      <c r="M468" s="4" t="s">
        <v>10</v>
      </c>
      <c r="N468" s="4">
        <v>1</v>
      </c>
      <c r="O468" s="5">
        <v>25</v>
      </c>
      <c r="P468">
        <f>N468*O468</f>
        <v>25</v>
      </c>
      <c r="Q468">
        <f>(P468*$U$4)</f>
        <v>0.375</v>
      </c>
    </row>
    <row r="469" spans="1:17">
      <c r="A469" s="2">
        <v>469</v>
      </c>
      <c r="B469" s="4">
        <f>YEAR(H469)</f>
        <v>2023</v>
      </c>
      <c r="C469" s="4">
        <f>MONTH(H469)</f>
        <v>5</v>
      </c>
      <c r="D469" s="4">
        <f>DAY(H469)</f>
        <v>8</v>
      </c>
      <c r="E469" s="4" t="str">
        <f>TEXT(H469,"dddd")</f>
        <v>Monday</v>
      </c>
      <c r="F469" s="4" t="str">
        <f t="shared" si="8"/>
        <v>May</v>
      </c>
      <c r="G469" s="4"/>
      <c r="H469" s="3">
        <v>45054</v>
      </c>
      <c r="I469" s="4" t="s">
        <v>503</v>
      </c>
      <c r="J469" s="4" t="s">
        <v>27</v>
      </c>
      <c r="K469" s="4">
        <v>43</v>
      </c>
      <c r="L469" s="4" t="str" cm="1">
        <f t="array" ref="L469">_xlfn.IFS(K469&gt;=50, "Senior", K469&gt;=30, "Adult", K469&lt;30, "Young Adult")</f>
        <v>Adult</v>
      </c>
      <c r="M469" s="4" t="s">
        <v>3</v>
      </c>
      <c r="N469" s="4">
        <v>3</v>
      </c>
      <c r="O469" s="5">
        <v>25</v>
      </c>
      <c r="P469">
        <f>N469*O469</f>
        <v>75</v>
      </c>
      <c r="Q469">
        <f>(P469*$U$4)</f>
        <v>1.125</v>
      </c>
    </row>
    <row r="470" spans="1:17">
      <c r="A470" s="2">
        <v>470</v>
      </c>
      <c r="B470" s="4">
        <f>YEAR(H470)</f>
        <v>2023</v>
      </c>
      <c r="C470" s="4">
        <f>MONTH(H470)</f>
        <v>5</v>
      </c>
      <c r="D470" s="4">
        <f>DAY(H470)</f>
        <v>17</v>
      </c>
      <c r="E470" s="4" t="str">
        <f>TEXT(H470,"dddd")</f>
        <v>Wednesday</v>
      </c>
      <c r="F470" s="4" t="str">
        <f t="shared" si="8"/>
        <v>May</v>
      </c>
      <c r="G470" s="4"/>
      <c r="H470" s="3">
        <v>45063</v>
      </c>
      <c r="I470" s="4" t="s">
        <v>504</v>
      </c>
      <c r="J470" s="4" t="s">
        <v>29</v>
      </c>
      <c r="K470" s="4">
        <v>43</v>
      </c>
      <c r="L470" s="4" t="str" cm="1">
        <f t="array" ref="L470">_xlfn.IFS(K470&gt;=50, "Senior", K470&gt;=30, "Adult", K470&lt;30, "Young Adult")</f>
        <v>Adult</v>
      </c>
      <c r="M470" s="4" t="s">
        <v>8</v>
      </c>
      <c r="N470" s="4">
        <v>2</v>
      </c>
      <c r="O470" s="5">
        <v>500</v>
      </c>
      <c r="P470">
        <f>N470*O470</f>
        <v>1000</v>
      </c>
      <c r="Q470">
        <f>(P470*$U$4)</f>
        <v>15</v>
      </c>
    </row>
    <row r="471" spans="1:17">
      <c r="A471" s="2">
        <v>471</v>
      </c>
      <c r="B471" s="4">
        <f>YEAR(H471)</f>
        <v>2023</v>
      </c>
      <c r="C471" s="4">
        <f>MONTH(H471)</f>
        <v>3</v>
      </c>
      <c r="D471" s="4">
        <f>DAY(H471)</f>
        <v>23</v>
      </c>
      <c r="E471" s="4" t="str">
        <f>TEXT(H471,"dddd")</f>
        <v>Thursday</v>
      </c>
      <c r="F471" s="4" t="str">
        <f t="shared" si="8"/>
        <v>March</v>
      </c>
      <c r="G471" s="4"/>
      <c r="H471" s="3">
        <v>45008</v>
      </c>
      <c r="I471" s="4" t="s">
        <v>505</v>
      </c>
      <c r="J471" s="4" t="s">
        <v>27</v>
      </c>
      <c r="K471" s="4">
        <v>43</v>
      </c>
      <c r="L471" s="4" t="str" cm="1">
        <f t="array" ref="L471">_xlfn.IFS(K471&gt;=50, "Senior", K471&gt;=30, "Adult", K471&lt;30, "Young Adult")</f>
        <v>Adult</v>
      </c>
      <c r="M471" s="4" t="s">
        <v>8</v>
      </c>
      <c r="N471" s="4">
        <v>3</v>
      </c>
      <c r="O471" s="5">
        <v>50</v>
      </c>
      <c r="P471">
        <f>N471*O471</f>
        <v>150</v>
      </c>
      <c r="Q471">
        <f>(P471*$U$4)</f>
        <v>2.25</v>
      </c>
    </row>
    <row r="472" spans="1:17">
      <c r="A472" s="2">
        <v>472</v>
      </c>
      <c r="B472" s="4">
        <f>YEAR(H472)</f>
        <v>2023</v>
      </c>
      <c r="C472" s="4">
        <f>MONTH(H472)</f>
        <v>12</v>
      </c>
      <c r="D472" s="4">
        <f>DAY(H472)</f>
        <v>26</v>
      </c>
      <c r="E472" s="4" t="str">
        <f>TEXT(H472,"dddd")</f>
        <v>Tuesday</v>
      </c>
      <c r="F472" s="4" t="str">
        <f t="shared" si="8"/>
        <v>December</v>
      </c>
      <c r="G472" s="4"/>
      <c r="H472" s="3">
        <v>45286</v>
      </c>
      <c r="I472" s="4" t="s">
        <v>506</v>
      </c>
      <c r="J472" s="4" t="s">
        <v>29</v>
      </c>
      <c r="K472" s="4">
        <v>43</v>
      </c>
      <c r="L472" s="4" t="str" cm="1">
        <f t="array" ref="L472">_xlfn.IFS(K472&gt;=50, "Senior", K472&gt;=30, "Adult", K472&lt;30, "Young Adult")</f>
        <v>Adult</v>
      </c>
      <c r="M472" s="4" t="s">
        <v>3</v>
      </c>
      <c r="N472" s="4">
        <v>3</v>
      </c>
      <c r="O472" s="5">
        <v>300</v>
      </c>
      <c r="P472">
        <f>N472*O472</f>
        <v>900</v>
      </c>
      <c r="Q472">
        <f>(P472*$U$4)</f>
        <v>13.5</v>
      </c>
    </row>
    <row r="473" spans="1:17">
      <c r="A473" s="2">
        <v>473</v>
      </c>
      <c r="B473" s="4">
        <f>YEAR(H473)</f>
        <v>2023</v>
      </c>
      <c r="C473" s="4">
        <f>MONTH(H473)</f>
        <v>2</v>
      </c>
      <c r="D473" s="4">
        <f>DAY(H473)</f>
        <v>25</v>
      </c>
      <c r="E473" s="4" t="str">
        <f>TEXT(H473,"dddd")</f>
        <v>Saturday</v>
      </c>
      <c r="F473" s="4" t="str">
        <f t="shared" si="8"/>
        <v>February</v>
      </c>
      <c r="G473" s="4"/>
      <c r="H473" s="3">
        <v>44982</v>
      </c>
      <c r="I473" s="4" t="s">
        <v>507</v>
      </c>
      <c r="J473" s="4" t="s">
        <v>27</v>
      </c>
      <c r="K473" s="4">
        <v>43</v>
      </c>
      <c r="L473" s="4" t="str" cm="1">
        <f t="array" ref="L473">_xlfn.IFS(K473&gt;=50, "Senior", K473&gt;=30, "Adult", K473&lt;30, "Young Adult")</f>
        <v>Adult</v>
      </c>
      <c r="M473" s="4" t="s">
        <v>3</v>
      </c>
      <c r="N473" s="4">
        <v>1</v>
      </c>
      <c r="O473" s="5">
        <v>50</v>
      </c>
      <c r="P473">
        <f>N473*O473</f>
        <v>50</v>
      </c>
      <c r="Q473">
        <f>(P473*$U$4)</f>
        <v>0.75</v>
      </c>
    </row>
    <row r="474" spans="1:17">
      <c r="A474" s="2">
        <v>474</v>
      </c>
      <c r="B474" s="4">
        <f>YEAR(H474)</f>
        <v>2023</v>
      </c>
      <c r="C474" s="4">
        <f>MONTH(H474)</f>
        <v>7</v>
      </c>
      <c r="D474" s="4">
        <f>DAY(H474)</f>
        <v>15</v>
      </c>
      <c r="E474" s="4" t="str">
        <f>TEXT(H474,"dddd")</f>
        <v>Saturday</v>
      </c>
      <c r="F474" s="4" t="str">
        <f t="shared" si="8"/>
        <v>July</v>
      </c>
      <c r="G474" s="4"/>
      <c r="H474" s="3">
        <v>45122</v>
      </c>
      <c r="I474" s="4" t="s">
        <v>508</v>
      </c>
      <c r="J474" s="4" t="s">
        <v>29</v>
      </c>
      <c r="K474" s="4">
        <v>43</v>
      </c>
      <c r="L474" s="4" t="str" cm="1">
        <f t="array" ref="L474">_xlfn.IFS(K474&gt;=50, "Senior", K474&gt;=30, "Adult", K474&lt;30, "Young Adult")</f>
        <v>Adult</v>
      </c>
      <c r="M474" s="4" t="s">
        <v>8</v>
      </c>
      <c r="N474" s="4">
        <v>3</v>
      </c>
      <c r="O474" s="5">
        <v>500</v>
      </c>
      <c r="P474">
        <f>N474*O474</f>
        <v>1500</v>
      </c>
      <c r="Q474">
        <f>(P474*$U$4)</f>
        <v>22.5</v>
      </c>
    </row>
    <row r="475" spans="1:17">
      <c r="A475" s="2">
        <v>475</v>
      </c>
      <c r="B475" s="4">
        <f>YEAR(H475)</f>
        <v>2023</v>
      </c>
      <c r="C475" s="4">
        <f>MONTH(H475)</f>
        <v>1</v>
      </c>
      <c r="D475" s="4">
        <f>DAY(H475)</f>
        <v>20</v>
      </c>
      <c r="E475" s="4" t="str">
        <f>TEXT(H475,"dddd")</f>
        <v>Friday</v>
      </c>
      <c r="F475" s="4" t="str">
        <f t="shared" si="8"/>
        <v>January</v>
      </c>
      <c r="G475" s="4"/>
      <c r="H475" s="3">
        <v>44946</v>
      </c>
      <c r="I475" s="4" t="s">
        <v>509</v>
      </c>
      <c r="J475" s="4" t="s">
        <v>27</v>
      </c>
      <c r="K475" s="4">
        <v>43</v>
      </c>
      <c r="L475" s="4" t="str" cm="1">
        <f t="array" ref="L475">_xlfn.IFS(K475&gt;=50, "Senior", K475&gt;=30, "Adult", K475&lt;30, "Young Adult")</f>
        <v>Adult</v>
      </c>
      <c r="M475" s="4" t="s">
        <v>8</v>
      </c>
      <c r="N475" s="4">
        <v>3</v>
      </c>
      <c r="O475" s="5">
        <v>25</v>
      </c>
      <c r="P475">
        <f>N475*O475</f>
        <v>75</v>
      </c>
      <c r="Q475">
        <f>(P475*$U$4)</f>
        <v>1.125</v>
      </c>
    </row>
    <row r="476" spans="1:17">
      <c r="A476" s="2">
        <v>476</v>
      </c>
      <c r="B476" s="4">
        <f>YEAR(H476)</f>
        <v>2023</v>
      </c>
      <c r="C476" s="4">
        <f>MONTH(H476)</f>
        <v>8</v>
      </c>
      <c r="D476" s="4">
        <f>DAY(H476)</f>
        <v>29</v>
      </c>
      <c r="E476" s="4" t="str">
        <f>TEXT(H476,"dddd")</f>
        <v>Tuesday</v>
      </c>
      <c r="F476" s="4" t="str">
        <f t="shared" si="8"/>
        <v>August</v>
      </c>
      <c r="G476" s="4"/>
      <c r="H476" s="3">
        <v>45167</v>
      </c>
      <c r="I476" s="4" t="s">
        <v>510</v>
      </c>
      <c r="J476" s="4" t="s">
        <v>29</v>
      </c>
      <c r="K476" s="4">
        <v>43</v>
      </c>
      <c r="L476" s="4" t="str" cm="1">
        <f t="array" ref="L476">_xlfn.IFS(K476&gt;=50, "Senior", K476&gt;=30, "Adult", K476&lt;30, "Young Adult")</f>
        <v>Adult</v>
      </c>
      <c r="M476" s="4" t="s">
        <v>8</v>
      </c>
      <c r="N476" s="4">
        <v>4</v>
      </c>
      <c r="O476" s="5">
        <v>500</v>
      </c>
      <c r="P476">
        <f>N476*O476</f>
        <v>2000</v>
      </c>
      <c r="Q476">
        <f>(P476*$U$4)</f>
        <v>30</v>
      </c>
    </row>
    <row r="477" spans="1:17">
      <c r="A477" s="2">
        <v>477</v>
      </c>
      <c r="B477" s="4">
        <f>YEAR(H477)</f>
        <v>2023</v>
      </c>
      <c r="C477" s="4">
        <f>MONTH(H477)</f>
        <v>4</v>
      </c>
      <c r="D477" s="4">
        <f>DAY(H477)</f>
        <v>24</v>
      </c>
      <c r="E477" s="4" t="str">
        <f>TEXT(H477,"dddd")</f>
        <v>Monday</v>
      </c>
      <c r="F477" s="4" t="str">
        <f t="shared" si="8"/>
        <v>April</v>
      </c>
      <c r="G477" s="4"/>
      <c r="H477" s="3">
        <v>45040</v>
      </c>
      <c r="I477" s="4" t="s">
        <v>511</v>
      </c>
      <c r="J477" s="4" t="s">
        <v>27</v>
      </c>
      <c r="K477" s="4">
        <v>43</v>
      </c>
      <c r="L477" s="4" t="str" cm="1">
        <f t="array" ref="L477">_xlfn.IFS(K477&gt;=50, "Senior", K477&gt;=30, "Adult", K477&lt;30, "Young Adult")</f>
        <v>Adult</v>
      </c>
      <c r="M477" s="4" t="s">
        <v>8</v>
      </c>
      <c r="N477" s="4">
        <v>4</v>
      </c>
      <c r="O477" s="5">
        <v>30</v>
      </c>
      <c r="P477">
        <f>N477*O477</f>
        <v>120</v>
      </c>
      <c r="Q477">
        <f>(P477*$U$4)</f>
        <v>1.7999999999999998</v>
      </c>
    </row>
    <row r="478" spans="1:17">
      <c r="A478" s="2">
        <v>478</v>
      </c>
      <c r="B478" s="4">
        <f>YEAR(H478)</f>
        <v>2023</v>
      </c>
      <c r="C478" s="4">
        <f>MONTH(H478)</f>
        <v>4</v>
      </c>
      <c r="D478" s="4">
        <f>DAY(H478)</f>
        <v>13</v>
      </c>
      <c r="E478" s="4" t="str">
        <f>TEXT(H478,"dddd")</f>
        <v>Thursday</v>
      </c>
      <c r="F478" s="4" t="str">
        <f t="shared" si="8"/>
        <v>April</v>
      </c>
      <c r="G478" s="4"/>
      <c r="H478" s="3">
        <v>45029</v>
      </c>
      <c r="I478" s="4" t="s">
        <v>512</v>
      </c>
      <c r="J478" s="4" t="s">
        <v>29</v>
      </c>
      <c r="K478" s="4">
        <v>43</v>
      </c>
      <c r="L478" s="4" t="str" cm="1">
        <f t="array" ref="L478">_xlfn.IFS(K478&gt;=50, "Senior", K478&gt;=30, "Adult", K478&lt;30, "Young Adult")</f>
        <v>Adult</v>
      </c>
      <c r="M478" s="4" t="s">
        <v>8</v>
      </c>
      <c r="N478" s="4">
        <v>2</v>
      </c>
      <c r="O478" s="5">
        <v>30</v>
      </c>
      <c r="P478">
        <f>N478*O478</f>
        <v>60</v>
      </c>
      <c r="Q478">
        <f>(P478*$U$4)</f>
        <v>0.89999999999999991</v>
      </c>
    </row>
    <row r="479" spans="1:17">
      <c r="A479" s="2">
        <v>479</v>
      </c>
      <c r="B479" s="4">
        <f>YEAR(H479)</f>
        <v>2023</v>
      </c>
      <c r="C479" s="4">
        <f>MONTH(H479)</f>
        <v>8</v>
      </c>
      <c r="D479" s="4">
        <f>DAY(H479)</f>
        <v>24</v>
      </c>
      <c r="E479" s="4" t="str">
        <f>TEXT(H479,"dddd")</f>
        <v>Thursday</v>
      </c>
      <c r="F479" s="4" t="str">
        <f t="shared" si="8"/>
        <v>August</v>
      </c>
      <c r="G479" s="4"/>
      <c r="H479" s="3">
        <v>45162</v>
      </c>
      <c r="I479" s="4" t="s">
        <v>513</v>
      </c>
      <c r="J479" s="4" t="s">
        <v>27</v>
      </c>
      <c r="K479" s="4">
        <v>43</v>
      </c>
      <c r="L479" s="4" t="str" cm="1">
        <f t="array" ref="L479">_xlfn.IFS(K479&gt;=50, "Senior", K479&gt;=30, "Adult", K479&lt;30, "Young Adult")</f>
        <v>Adult</v>
      </c>
      <c r="M479" s="4" t="s">
        <v>10</v>
      </c>
      <c r="N479" s="4">
        <v>4</v>
      </c>
      <c r="O479" s="5">
        <v>300</v>
      </c>
      <c r="P479">
        <f>N479*O479</f>
        <v>1200</v>
      </c>
      <c r="Q479">
        <f>(P479*$U$4)</f>
        <v>18</v>
      </c>
    </row>
    <row r="480" spans="1:17">
      <c r="A480" s="2">
        <v>480</v>
      </c>
      <c r="B480" s="4">
        <f>YEAR(H480)</f>
        <v>2023</v>
      </c>
      <c r="C480" s="4">
        <f>MONTH(H480)</f>
        <v>6</v>
      </c>
      <c r="D480" s="4">
        <f>DAY(H480)</f>
        <v>29</v>
      </c>
      <c r="E480" s="4" t="str">
        <f>TEXT(H480,"dddd")</f>
        <v>Thursday</v>
      </c>
      <c r="F480" s="4" t="str">
        <f t="shared" si="8"/>
        <v>June</v>
      </c>
      <c r="G480" s="4"/>
      <c r="H480" s="3">
        <v>45106</v>
      </c>
      <c r="I480" s="4" t="s">
        <v>514</v>
      </c>
      <c r="J480" s="4" t="s">
        <v>29</v>
      </c>
      <c r="K480" s="4">
        <v>43</v>
      </c>
      <c r="L480" s="4" t="str" cm="1">
        <f t="array" ref="L480">_xlfn.IFS(K480&gt;=50, "Senior", K480&gt;=30, "Adult", K480&lt;30, "Young Adult")</f>
        <v>Adult</v>
      </c>
      <c r="M480" s="4" t="s">
        <v>3</v>
      </c>
      <c r="N480" s="4">
        <v>4</v>
      </c>
      <c r="O480" s="5">
        <v>500</v>
      </c>
      <c r="P480">
        <f>N480*O480</f>
        <v>2000</v>
      </c>
      <c r="Q480">
        <f>(P480*$U$4)</f>
        <v>30</v>
      </c>
    </row>
    <row r="481" spans="1:17">
      <c r="A481" s="2">
        <v>481</v>
      </c>
      <c r="B481" s="4">
        <f>YEAR(H481)</f>
        <v>2023</v>
      </c>
      <c r="C481" s="4">
        <f>MONTH(H481)</f>
        <v>6</v>
      </c>
      <c r="D481" s="4">
        <f>DAY(H481)</f>
        <v>6</v>
      </c>
      <c r="E481" s="4" t="str">
        <f>TEXT(H481,"dddd")</f>
        <v>Tuesday</v>
      </c>
      <c r="F481" s="4" t="str">
        <f t="shared" si="8"/>
        <v>June</v>
      </c>
      <c r="G481" s="4"/>
      <c r="H481" s="3">
        <v>45083</v>
      </c>
      <c r="I481" s="4" t="s">
        <v>515</v>
      </c>
      <c r="J481" s="4" t="s">
        <v>29</v>
      </c>
      <c r="K481" s="4">
        <v>43</v>
      </c>
      <c r="L481" s="4" t="str" cm="1">
        <f t="array" ref="L481">_xlfn.IFS(K481&gt;=50, "Senior", K481&gt;=30, "Adult", K481&lt;30, "Young Adult")</f>
        <v>Adult</v>
      </c>
      <c r="M481" s="4" t="s">
        <v>10</v>
      </c>
      <c r="N481" s="4">
        <v>4</v>
      </c>
      <c r="O481" s="5">
        <v>300</v>
      </c>
      <c r="P481">
        <f>N481*O481</f>
        <v>1200</v>
      </c>
      <c r="Q481">
        <f>(P481*$U$4)</f>
        <v>18</v>
      </c>
    </row>
    <row r="482" spans="1:17">
      <c r="A482" s="2">
        <v>482</v>
      </c>
      <c r="B482" s="4">
        <f>YEAR(H482)</f>
        <v>2023</v>
      </c>
      <c r="C482" s="4">
        <f>MONTH(H482)</f>
        <v>4</v>
      </c>
      <c r="D482" s="4">
        <f>DAY(H482)</f>
        <v>27</v>
      </c>
      <c r="E482" s="4" t="str">
        <f>TEXT(H482,"dddd")</f>
        <v>Thursday</v>
      </c>
      <c r="F482" s="4" t="str">
        <f t="shared" si="8"/>
        <v>April</v>
      </c>
      <c r="G482" s="4"/>
      <c r="H482" s="3">
        <v>45043</v>
      </c>
      <c r="I482" s="4" t="s">
        <v>516</v>
      </c>
      <c r="J482" s="4" t="s">
        <v>29</v>
      </c>
      <c r="K482" s="4">
        <v>43</v>
      </c>
      <c r="L482" s="4" t="str" cm="1">
        <f t="array" ref="L482">_xlfn.IFS(K482&gt;=50, "Senior", K482&gt;=30, "Adult", K482&lt;30, "Young Adult")</f>
        <v>Adult</v>
      </c>
      <c r="M482" s="4" t="s">
        <v>8</v>
      </c>
      <c r="N482" s="4">
        <v>4</v>
      </c>
      <c r="O482" s="5">
        <v>300</v>
      </c>
      <c r="P482">
        <f>N482*O482</f>
        <v>1200</v>
      </c>
      <c r="Q482">
        <f>(P482*$U$4)</f>
        <v>18</v>
      </c>
    </row>
    <row r="483" spans="1:17">
      <c r="A483" s="2">
        <v>483</v>
      </c>
      <c r="B483" s="4">
        <f>YEAR(H483)</f>
        <v>2023</v>
      </c>
      <c r="C483" s="4">
        <f>MONTH(H483)</f>
        <v>4</v>
      </c>
      <c r="D483" s="4">
        <f>DAY(H483)</f>
        <v>25</v>
      </c>
      <c r="E483" s="4" t="str">
        <f>TEXT(H483,"dddd")</f>
        <v>Tuesday</v>
      </c>
      <c r="F483" s="4" t="str">
        <f t="shared" si="8"/>
        <v>April</v>
      </c>
      <c r="G483" s="4"/>
      <c r="H483" s="3">
        <v>45041</v>
      </c>
      <c r="I483" s="4" t="s">
        <v>517</v>
      </c>
      <c r="J483" s="4" t="s">
        <v>27</v>
      </c>
      <c r="K483" s="4">
        <v>43</v>
      </c>
      <c r="L483" s="4" t="str" cm="1">
        <f t="array" ref="L483">_xlfn.IFS(K483&gt;=50, "Senior", K483&gt;=30, "Adult", K483&lt;30, "Young Adult")</f>
        <v>Adult</v>
      </c>
      <c r="M483" s="4" t="s">
        <v>8</v>
      </c>
      <c r="N483" s="4">
        <v>1</v>
      </c>
      <c r="O483" s="5">
        <v>30</v>
      </c>
      <c r="P483">
        <f>N483*O483</f>
        <v>30</v>
      </c>
      <c r="Q483">
        <f>(P483*$U$4)</f>
        <v>0.44999999999999996</v>
      </c>
    </row>
    <row r="484" spans="1:17">
      <c r="A484" s="2">
        <v>484</v>
      </c>
      <c r="B484" s="4">
        <f>YEAR(H484)</f>
        <v>2023</v>
      </c>
      <c r="C484" s="4">
        <f>MONTH(H484)</f>
        <v>1</v>
      </c>
      <c r="D484" s="4">
        <f>DAY(H484)</f>
        <v>13</v>
      </c>
      <c r="E484" s="4" t="str">
        <f>TEXT(H484,"dddd")</f>
        <v>Friday</v>
      </c>
      <c r="F484" s="4" t="str">
        <f t="shared" si="8"/>
        <v>January</v>
      </c>
      <c r="G484" s="4"/>
      <c r="H484" s="3">
        <v>44939</v>
      </c>
      <c r="I484" s="4" t="s">
        <v>518</v>
      </c>
      <c r="J484" s="4" t="s">
        <v>29</v>
      </c>
      <c r="K484" s="4">
        <v>43</v>
      </c>
      <c r="L484" s="4" t="str" cm="1">
        <f t="array" ref="L484">_xlfn.IFS(K484&gt;=50, "Senior", K484&gt;=30, "Adult", K484&lt;30, "Young Adult")</f>
        <v>Adult</v>
      </c>
      <c r="M484" s="4" t="s">
        <v>8</v>
      </c>
      <c r="N484" s="4">
        <v>4</v>
      </c>
      <c r="O484" s="5">
        <v>300</v>
      </c>
      <c r="P484">
        <f>N484*O484</f>
        <v>1200</v>
      </c>
      <c r="Q484">
        <f>(P484*$U$4)</f>
        <v>18</v>
      </c>
    </row>
    <row r="485" spans="1:17">
      <c r="A485" s="2">
        <v>485</v>
      </c>
      <c r="B485" s="4">
        <f>YEAR(H485)</f>
        <v>2023</v>
      </c>
      <c r="C485" s="4">
        <f>MONTH(H485)</f>
        <v>12</v>
      </c>
      <c r="D485" s="4">
        <f>DAY(H485)</f>
        <v>4</v>
      </c>
      <c r="E485" s="4" t="str">
        <f>TEXT(H485,"dddd")</f>
        <v>Monday</v>
      </c>
      <c r="F485" s="4" t="str">
        <f t="shared" si="8"/>
        <v>December</v>
      </c>
      <c r="G485" s="4"/>
      <c r="H485" s="3">
        <v>45264</v>
      </c>
      <c r="I485" s="4" t="s">
        <v>519</v>
      </c>
      <c r="J485" s="4" t="s">
        <v>27</v>
      </c>
      <c r="K485" s="4">
        <v>43</v>
      </c>
      <c r="L485" s="4" t="str" cm="1">
        <f t="array" ref="L485">_xlfn.IFS(K485&gt;=50, "Senior", K485&gt;=30, "Adult", K485&lt;30, "Young Adult")</f>
        <v>Adult</v>
      </c>
      <c r="M485" s="4" t="s">
        <v>10</v>
      </c>
      <c r="N485" s="4">
        <v>1</v>
      </c>
      <c r="O485" s="5">
        <v>30</v>
      </c>
      <c r="P485">
        <f>N485*O485</f>
        <v>30</v>
      </c>
      <c r="Q485">
        <f>(P485*$U$4)</f>
        <v>0.44999999999999996</v>
      </c>
    </row>
    <row r="486" spans="1:17">
      <c r="A486" s="2">
        <v>486</v>
      </c>
      <c r="B486" s="4">
        <f>YEAR(H486)</f>
        <v>2023</v>
      </c>
      <c r="C486" s="4">
        <f>MONTH(H486)</f>
        <v>4</v>
      </c>
      <c r="D486" s="4">
        <f>DAY(H486)</f>
        <v>9</v>
      </c>
      <c r="E486" s="4" t="str">
        <f>TEXT(H486,"dddd")</f>
        <v>Sunday</v>
      </c>
      <c r="F486" s="4" t="str">
        <f t="shared" si="8"/>
        <v>April</v>
      </c>
      <c r="G486" s="4"/>
      <c r="H486" s="3">
        <v>45025</v>
      </c>
      <c r="I486" s="4" t="s">
        <v>520</v>
      </c>
      <c r="J486" s="4" t="s">
        <v>29</v>
      </c>
      <c r="K486" s="4">
        <v>43</v>
      </c>
      <c r="L486" s="4" t="str" cm="1">
        <f t="array" ref="L486">_xlfn.IFS(K486&gt;=50, "Senior", K486&gt;=30, "Adult", K486&lt;30, "Young Adult")</f>
        <v>Adult</v>
      </c>
      <c r="M486" s="4" t="s">
        <v>10</v>
      </c>
      <c r="N486" s="4">
        <v>1</v>
      </c>
      <c r="O486" s="5">
        <v>25</v>
      </c>
      <c r="P486">
        <f>N486*O486</f>
        <v>25</v>
      </c>
      <c r="Q486">
        <f>(P486*$U$4)</f>
        <v>0.375</v>
      </c>
    </row>
    <row r="487" spans="1:17">
      <c r="A487" s="2">
        <v>487</v>
      </c>
      <c r="B487" s="4">
        <f>YEAR(H487)</f>
        <v>2023</v>
      </c>
      <c r="C487" s="4">
        <f>MONTH(H487)</f>
        <v>7</v>
      </c>
      <c r="D487" s="4">
        <f>DAY(H487)</f>
        <v>24</v>
      </c>
      <c r="E487" s="4" t="str">
        <f>TEXT(H487,"dddd")</f>
        <v>Monday</v>
      </c>
      <c r="F487" s="4" t="str">
        <f t="shared" si="8"/>
        <v>July</v>
      </c>
      <c r="G487" s="4"/>
      <c r="H487" s="3">
        <v>45131</v>
      </c>
      <c r="I487" s="4" t="s">
        <v>521</v>
      </c>
      <c r="J487" s="4" t="s">
        <v>27</v>
      </c>
      <c r="K487" s="4">
        <v>43</v>
      </c>
      <c r="L487" s="4" t="str" cm="1">
        <f t="array" ref="L487">_xlfn.IFS(K487&gt;=50, "Senior", K487&gt;=30, "Adult", K487&lt;30, "Young Adult")</f>
        <v>Adult</v>
      </c>
      <c r="M487" s="4" t="s">
        <v>8</v>
      </c>
      <c r="N487" s="4">
        <v>4</v>
      </c>
      <c r="O487" s="5">
        <v>500</v>
      </c>
      <c r="P487">
        <f>N487*O487</f>
        <v>2000</v>
      </c>
      <c r="Q487">
        <f>(P487*$U$4)</f>
        <v>30</v>
      </c>
    </row>
    <row r="488" spans="1:17">
      <c r="A488" s="2">
        <v>488</v>
      </c>
      <c r="B488" s="4">
        <f>YEAR(H488)</f>
        <v>2023</v>
      </c>
      <c r="C488" s="4">
        <f>MONTH(H488)</f>
        <v>6</v>
      </c>
      <c r="D488" s="4">
        <f>DAY(H488)</f>
        <v>18</v>
      </c>
      <c r="E488" s="4" t="str">
        <f>TEXT(H488,"dddd")</f>
        <v>Sunday</v>
      </c>
      <c r="F488" s="4" t="str">
        <f t="shared" si="8"/>
        <v>June</v>
      </c>
      <c r="G488" s="4"/>
      <c r="H488" s="3">
        <v>45095</v>
      </c>
      <c r="I488" s="4" t="s">
        <v>522</v>
      </c>
      <c r="J488" s="4" t="s">
        <v>29</v>
      </c>
      <c r="K488" s="4">
        <v>42</v>
      </c>
      <c r="L488" s="4" t="str" cm="1">
        <f t="array" ref="L488">_xlfn.IFS(K488&gt;=50, "Senior", K488&gt;=30, "Adult", K488&lt;30, "Young Adult")</f>
        <v>Adult</v>
      </c>
      <c r="M488" s="4" t="s">
        <v>10</v>
      </c>
      <c r="N488" s="4">
        <v>3</v>
      </c>
      <c r="O488" s="5">
        <v>300</v>
      </c>
      <c r="P488">
        <f>N488*O488</f>
        <v>900</v>
      </c>
      <c r="Q488">
        <f>(P488*$U$4)</f>
        <v>13.5</v>
      </c>
    </row>
    <row r="489" spans="1:17">
      <c r="A489" s="2">
        <v>489</v>
      </c>
      <c r="B489" s="4">
        <f>YEAR(H489)</f>
        <v>2023</v>
      </c>
      <c r="C489" s="4">
        <f>MONTH(H489)</f>
        <v>5</v>
      </c>
      <c r="D489" s="4">
        <f>DAY(H489)</f>
        <v>23</v>
      </c>
      <c r="E489" s="4" t="str">
        <f>TEXT(H489,"dddd")</f>
        <v>Tuesday</v>
      </c>
      <c r="F489" s="4" t="str">
        <f t="shared" si="8"/>
        <v>May</v>
      </c>
      <c r="G489" s="4"/>
      <c r="H489" s="3">
        <v>45069</v>
      </c>
      <c r="I489" s="4" t="s">
        <v>523</v>
      </c>
      <c r="J489" s="4" t="s">
        <v>27</v>
      </c>
      <c r="K489" s="4">
        <v>42</v>
      </c>
      <c r="L489" s="4" t="str" cm="1">
        <f t="array" ref="L489">_xlfn.IFS(K489&gt;=50, "Senior", K489&gt;=30, "Adult", K489&lt;30, "Young Adult")</f>
        <v>Adult</v>
      </c>
      <c r="M489" s="4" t="s">
        <v>10</v>
      </c>
      <c r="N489" s="4">
        <v>1</v>
      </c>
      <c r="O489" s="5">
        <v>30</v>
      </c>
      <c r="P489">
        <f>N489*O489</f>
        <v>30</v>
      </c>
      <c r="Q489">
        <f>(P489*$U$4)</f>
        <v>0.44999999999999996</v>
      </c>
    </row>
    <row r="490" spans="1:17">
      <c r="A490" s="2">
        <v>490</v>
      </c>
      <c r="B490" s="4">
        <f>YEAR(H490)</f>
        <v>2023</v>
      </c>
      <c r="C490" s="4">
        <f>MONTH(H490)</f>
        <v>2</v>
      </c>
      <c r="D490" s="4">
        <f>DAY(H490)</f>
        <v>5</v>
      </c>
      <c r="E490" s="4" t="str">
        <f>TEXT(H490,"dddd")</f>
        <v>Sunday</v>
      </c>
      <c r="F490" s="4" t="str">
        <f t="shared" si="8"/>
        <v>February</v>
      </c>
      <c r="G490" s="4"/>
      <c r="H490" s="3">
        <v>44962</v>
      </c>
      <c r="I490" s="4" t="s">
        <v>524</v>
      </c>
      <c r="J490" s="4" t="s">
        <v>27</v>
      </c>
      <c r="K490" s="4">
        <v>42</v>
      </c>
      <c r="L490" s="4" t="str" cm="1">
        <f t="array" ref="L490">_xlfn.IFS(K490&gt;=50, "Senior", K490&gt;=30, "Adult", K490&lt;30, "Young Adult")</f>
        <v>Adult</v>
      </c>
      <c r="M490" s="4" t="s">
        <v>8</v>
      </c>
      <c r="N490" s="4">
        <v>3</v>
      </c>
      <c r="O490" s="5">
        <v>50</v>
      </c>
      <c r="P490">
        <f>N490*O490</f>
        <v>150</v>
      </c>
      <c r="Q490">
        <f>(P490*$U$4)</f>
        <v>2.25</v>
      </c>
    </row>
    <row r="491" spans="1:17">
      <c r="A491" s="2">
        <v>491</v>
      </c>
      <c r="B491" s="4">
        <f>YEAR(H491)</f>
        <v>2023</v>
      </c>
      <c r="C491" s="4">
        <f>MONTH(H491)</f>
        <v>5</v>
      </c>
      <c r="D491" s="4">
        <f>DAY(H491)</f>
        <v>23</v>
      </c>
      <c r="E491" s="4" t="str">
        <f>TEXT(H491,"dddd")</f>
        <v>Tuesday</v>
      </c>
      <c r="F491" s="4" t="str">
        <f t="shared" si="8"/>
        <v>May</v>
      </c>
      <c r="G491" s="4"/>
      <c r="H491" s="3">
        <v>45069</v>
      </c>
      <c r="I491" s="4" t="s">
        <v>525</v>
      </c>
      <c r="J491" s="4" t="s">
        <v>29</v>
      </c>
      <c r="K491" s="4">
        <v>42</v>
      </c>
      <c r="L491" s="4" t="str" cm="1">
        <f t="array" ref="L491">_xlfn.IFS(K491&gt;=50, "Senior", K491&gt;=30, "Adult", K491&lt;30, "Young Adult")</f>
        <v>Adult</v>
      </c>
      <c r="M491" s="4" t="s">
        <v>10</v>
      </c>
      <c r="N491" s="4">
        <v>3</v>
      </c>
      <c r="O491" s="5">
        <v>300</v>
      </c>
      <c r="P491">
        <f>N491*O491</f>
        <v>900</v>
      </c>
      <c r="Q491">
        <f>(P491*$U$4)</f>
        <v>13.5</v>
      </c>
    </row>
    <row r="492" spans="1:17">
      <c r="A492" s="2">
        <v>492</v>
      </c>
      <c r="B492" s="4">
        <f>YEAR(H492)</f>
        <v>2023</v>
      </c>
      <c r="C492" s="4">
        <f>MONTH(H492)</f>
        <v>6</v>
      </c>
      <c r="D492" s="4">
        <f>DAY(H492)</f>
        <v>29</v>
      </c>
      <c r="E492" s="4" t="str">
        <f>TEXT(H492,"dddd")</f>
        <v>Thursday</v>
      </c>
      <c r="F492" s="4" t="str">
        <f t="shared" si="8"/>
        <v>June</v>
      </c>
      <c r="G492" s="4"/>
      <c r="H492" s="3">
        <v>45106</v>
      </c>
      <c r="I492" s="4" t="s">
        <v>526</v>
      </c>
      <c r="J492" s="4" t="s">
        <v>27</v>
      </c>
      <c r="K492" s="4">
        <v>42</v>
      </c>
      <c r="L492" s="4" t="str" cm="1">
        <f t="array" ref="L492">_xlfn.IFS(K492&gt;=50, "Senior", K492&gt;=30, "Adult", K492&lt;30, "Young Adult")</f>
        <v>Adult</v>
      </c>
      <c r="M492" s="4" t="s">
        <v>3</v>
      </c>
      <c r="N492" s="4">
        <v>4</v>
      </c>
      <c r="O492" s="5">
        <v>25</v>
      </c>
      <c r="P492">
        <f>N492*O492</f>
        <v>100</v>
      </c>
      <c r="Q492">
        <f>(P492*$U$4)</f>
        <v>1.5</v>
      </c>
    </row>
    <row r="493" spans="1:17">
      <c r="A493" s="2">
        <v>493</v>
      </c>
      <c r="B493" s="4">
        <f>YEAR(H493)</f>
        <v>2023</v>
      </c>
      <c r="C493" s="4">
        <f>MONTH(H493)</f>
        <v>11</v>
      </c>
      <c r="D493" s="4">
        <f>DAY(H493)</f>
        <v>25</v>
      </c>
      <c r="E493" s="4" t="str">
        <f>TEXT(H493,"dddd")</f>
        <v>Saturday</v>
      </c>
      <c r="F493" s="4" t="str">
        <f t="shared" si="8"/>
        <v>November</v>
      </c>
      <c r="G493" s="4"/>
      <c r="H493" s="3">
        <v>45255</v>
      </c>
      <c r="I493" s="4" t="s">
        <v>527</v>
      </c>
      <c r="J493" s="4" t="s">
        <v>27</v>
      </c>
      <c r="K493" s="4">
        <v>42</v>
      </c>
      <c r="L493" s="4" t="str" cm="1">
        <f t="array" ref="L493">_xlfn.IFS(K493&gt;=50, "Senior", K493&gt;=30, "Adult", K493&lt;30, "Young Adult")</f>
        <v>Adult</v>
      </c>
      <c r="M493" s="4" t="s">
        <v>3</v>
      </c>
      <c r="N493" s="4">
        <v>2</v>
      </c>
      <c r="O493" s="5">
        <v>25</v>
      </c>
      <c r="P493">
        <f>N493*O493</f>
        <v>50</v>
      </c>
      <c r="Q493">
        <f>(P493*$U$4)</f>
        <v>0.75</v>
      </c>
    </row>
    <row r="494" spans="1:17">
      <c r="A494" s="2">
        <v>494</v>
      </c>
      <c r="B494" s="4">
        <f>YEAR(H494)</f>
        <v>2023</v>
      </c>
      <c r="C494" s="4">
        <f>MONTH(H494)</f>
        <v>9</v>
      </c>
      <c r="D494" s="4">
        <f>DAY(H494)</f>
        <v>18</v>
      </c>
      <c r="E494" s="4" t="str">
        <f>TEXT(H494,"dddd")</f>
        <v>Monday</v>
      </c>
      <c r="F494" s="4" t="str">
        <f t="shared" si="8"/>
        <v>September</v>
      </c>
      <c r="G494" s="4"/>
      <c r="H494" s="3">
        <v>45187</v>
      </c>
      <c r="I494" s="4" t="s">
        <v>528</v>
      </c>
      <c r="J494" s="4" t="s">
        <v>29</v>
      </c>
      <c r="K494" s="4">
        <v>42</v>
      </c>
      <c r="L494" s="4" t="str" cm="1">
        <f t="array" ref="L494">_xlfn.IFS(K494&gt;=50, "Senior", K494&gt;=30, "Adult", K494&lt;30, "Young Adult")</f>
        <v>Adult</v>
      </c>
      <c r="M494" s="4" t="s">
        <v>3</v>
      </c>
      <c r="N494" s="4">
        <v>4</v>
      </c>
      <c r="O494" s="5">
        <v>50</v>
      </c>
      <c r="P494">
        <f>N494*O494</f>
        <v>200</v>
      </c>
      <c r="Q494">
        <f>(P494*$U$4)</f>
        <v>3</v>
      </c>
    </row>
    <row r="495" spans="1:17">
      <c r="A495" s="2">
        <v>495</v>
      </c>
      <c r="B495" s="4">
        <f>YEAR(H495)</f>
        <v>2023</v>
      </c>
      <c r="C495" s="4">
        <f>MONTH(H495)</f>
        <v>7</v>
      </c>
      <c r="D495" s="4">
        <f>DAY(H495)</f>
        <v>24</v>
      </c>
      <c r="E495" s="4" t="str">
        <f>TEXT(H495,"dddd")</f>
        <v>Monday</v>
      </c>
      <c r="F495" s="4" t="str">
        <f t="shared" si="8"/>
        <v>July</v>
      </c>
      <c r="G495" s="4"/>
      <c r="H495" s="3">
        <v>45131</v>
      </c>
      <c r="I495" s="4" t="s">
        <v>529</v>
      </c>
      <c r="J495" s="4" t="s">
        <v>27</v>
      </c>
      <c r="K495" s="4">
        <v>42</v>
      </c>
      <c r="L495" s="4" t="str" cm="1">
        <f t="array" ref="L495">_xlfn.IFS(K495&gt;=50, "Senior", K495&gt;=30, "Adult", K495&lt;30, "Young Adult")</f>
        <v>Adult</v>
      </c>
      <c r="M495" s="4" t="s">
        <v>3</v>
      </c>
      <c r="N495" s="4">
        <v>2</v>
      </c>
      <c r="O495" s="5">
        <v>30</v>
      </c>
      <c r="P495">
        <f>N495*O495</f>
        <v>60</v>
      </c>
      <c r="Q495">
        <f>(P495*$U$4)</f>
        <v>0.89999999999999991</v>
      </c>
    </row>
    <row r="496" spans="1:17">
      <c r="A496" s="2">
        <v>496</v>
      </c>
      <c r="B496" s="4">
        <f>YEAR(H496)</f>
        <v>2023</v>
      </c>
      <c r="C496" s="4">
        <f>MONTH(H496)</f>
        <v>12</v>
      </c>
      <c r="D496" s="4">
        <f>DAY(H496)</f>
        <v>14</v>
      </c>
      <c r="E496" s="4" t="str">
        <f>TEXT(H496,"dddd")</f>
        <v>Thursday</v>
      </c>
      <c r="F496" s="4" t="str">
        <f t="shared" si="8"/>
        <v>December</v>
      </c>
      <c r="G496" s="4"/>
      <c r="H496" s="3">
        <v>45274</v>
      </c>
      <c r="I496" s="4" t="s">
        <v>530</v>
      </c>
      <c r="J496" s="4" t="s">
        <v>27</v>
      </c>
      <c r="K496" s="4">
        <v>42</v>
      </c>
      <c r="L496" s="4" t="str" cm="1">
        <f t="array" ref="L496">_xlfn.IFS(K496&gt;=50, "Senior", K496&gt;=30, "Adult", K496&lt;30, "Young Adult")</f>
        <v>Adult</v>
      </c>
      <c r="M496" s="4" t="s">
        <v>8</v>
      </c>
      <c r="N496" s="4">
        <v>2</v>
      </c>
      <c r="O496" s="5">
        <v>300</v>
      </c>
      <c r="P496">
        <f>N496*O496</f>
        <v>600</v>
      </c>
      <c r="Q496">
        <f>(P496*$U$4)</f>
        <v>9</v>
      </c>
    </row>
    <row r="497" spans="1:17">
      <c r="A497" s="2">
        <v>497</v>
      </c>
      <c r="B497" s="4">
        <f>YEAR(H497)</f>
        <v>2023</v>
      </c>
      <c r="C497" s="4">
        <f>MONTH(H497)</f>
        <v>10</v>
      </c>
      <c r="D497" s="4">
        <f>DAY(H497)</f>
        <v>2</v>
      </c>
      <c r="E497" s="4" t="str">
        <f>TEXT(H497,"dddd")</f>
        <v>Monday</v>
      </c>
      <c r="F497" s="4" t="str">
        <f t="shared" si="8"/>
        <v>October</v>
      </c>
      <c r="G497" s="4"/>
      <c r="H497" s="3">
        <v>45201</v>
      </c>
      <c r="I497" s="4" t="s">
        <v>531</v>
      </c>
      <c r="J497" s="4" t="s">
        <v>27</v>
      </c>
      <c r="K497" s="4">
        <v>42</v>
      </c>
      <c r="L497" s="4" t="str" cm="1">
        <f t="array" ref="L497">_xlfn.IFS(K497&gt;=50, "Senior", K497&gt;=30, "Adult", K497&lt;30, "Young Adult")</f>
        <v>Adult</v>
      </c>
      <c r="M497" s="4" t="s">
        <v>8</v>
      </c>
      <c r="N497" s="4">
        <v>4</v>
      </c>
      <c r="O497" s="5">
        <v>30</v>
      </c>
      <c r="P497">
        <f>N497*O497</f>
        <v>120</v>
      </c>
      <c r="Q497">
        <f>(P497*$U$4)</f>
        <v>1.7999999999999998</v>
      </c>
    </row>
    <row r="498" spans="1:17">
      <c r="A498" s="2">
        <v>498</v>
      </c>
      <c r="B498" s="4">
        <f>YEAR(H498)</f>
        <v>2023</v>
      </c>
      <c r="C498" s="4">
        <f>MONTH(H498)</f>
        <v>6</v>
      </c>
      <c r="D498" s="4">
        <f>DAY(H498)</f>
        <v>19</v>
      </c>
      <c r="E498" s="4" t="str">
        <f>TEXT(H498,"dddd")</f>
        <v>Monday</v>
      </c>
      <c r="F498" s="4" t="str">
        <f t="shared" si="8"/>
        <v>June</v>
      </c>
      <c r="G498" s="4"/>
      <c r="H498" s="3">
        <v>45096</v>
      </c>
      <c r="I498" s="4" t="s">
        <v>532</v>
      </c>
      <c r="J498" s="4" t="s">
        <v>29</v>
      </c>
      <c r="K498" s="4">
        <v>42</v>
      </c>
      <c r="L498" s="4" t="str" cm="1">
        <f t="array" ref="L498">_xlfn.IFS(K498&gt;=50, "Senior", K498&gt;=30, "Adult", K498&lt;30, "Young Adult")</f>
        <v>Adult</v>
      </c>
      <c r="M498" s="4" t="s">
        <v>8</v>
      </c>
      <c r="N498" s="4">
        <v>4</v>
      </c>
      <c r="O498" s="5">
        <v>25</v>
      </c>
      <c r="P498">
        <f>N498*O498</f>
        <v>100</v>
      </c>
      <c r="Q498">
        <f>(P498*$U$4)</f>
        <v>1.5</v>
      </c>
    </row>
    <row r="499" spans="1:17">
      <c r="A499" s="2">
        <v>499</v>
      </c>
      <c r="B499" s="4">
        <f>YEAR(H499)</f>
        <v>2023</v>
      </c>
      <c r="C499" s="4">
        <f>MONTH(H499)</f>
        <v>1</v>
      </c>
      <c r="D499" s="4">
        <f>DAY(H499)</f>
        <v>15</v>
      </c>
      <c r="E499" s="4" t="str">
        <f>TEXT(H499,"dddd")</f>
        <v>Sunday</v>
      </c>
      <c r="F499" s="4" t="str">
        <f t="shared" si="8"/>
        <v>January</v>
      </c>
      <c r="G499" s="4"/>
      <c r="H499" s="3">
        <v>44941</v>
      </c>
      <c r="I499" s="4" t="s">
        <v>533</v>
      </c>
      <c r="J499" s="4" t="s">
        <v>27</v>
      </c>
      <c r="K499" s="4">
        <v>42</v>
      </c>
      <c r="L499" s="4" t="str" cm="1">
        <f t="array" ref="L499">_xlfn.IFS(K499&gt;=50, "Senior", K499&gt;=30, "Adult", K499&lt;30, "Young Adult")</f>
        <v>Adult</v>
      </c>
      <c r="M499" s="4" t="s">
        <v>3</v>
      </c>
      <c r="N499" s="4">
        <v>2</v>
      </c>
      <c r="O499" s="5">
        <v>30</v>
      </c>
      <c r="P499">
        <f>N499*O499</f>
        <v>60</v>
      </c>
      <c r="Q499">
        <f>(P499*$U$4)</f>
        <v>0.89999999999999991</v>
      </c>
    </row>
    <row r="500" spans="1:17">
      <c r="A500" s="2">
        <v>500</v>
      </c>
      <c r="B500" s="4">
        <f>YEAR(H500)</f>
        <v>2023</v>
      </c>
      <c r="C500" s="4">
        <f>MONTH(H500)</f>
        <v>3</v>
      </c>
      <c r="D500" s="4">
        <f>DAY(H500)</f>
        <v>1</v>
      </c>
      <c r="E500" s="4" t="str">
        <f>TEXT(H500,"dddd")</f>
        <v>Wednesday</v>
      </c>
      <c r="F500" s="4" t="str">
        <f t="shared" si="8"/>
        <v>March</v>
      </c>
      <c r="G500" s="4"/>
      <c r="H500" s="3">
        <v>44986</v>
      </c>
      <c r="I500" s="4" t="s">
        <v>534</v>
      </c>
      <c r="J500" s="4" t="s">
        <v>29</v>
      </c>
      <c r="K500" s="4">
        <v>42</v>
      </c>
      <c r="L500" s="4" t="str" cm="1">
        <f t="array" ref="L500">_xlfn.IFS(K500&gt;=50, "Senior", K500&gt;=30, "Adult", K500&lt;30, "Young Adult")</f>
        <v>Adult</v>
      </c>
      <c r="M500" s="4" t="s">
        <v>3</v>
      </c>
      <c r="N500" s="4">
        <v>4</v>
      </c>
      <c r="O500" s="5">
        <v>25</v>
      </c>
      <c r="P500">
        <f>N500*O500</f>
        <v>100</v>
      </c>
      <c r="Q500">
        <f>(P500*$U$4)</f>
        <v>1.5</v>
      </c>
    </row>
    <row r="501" spans="1:17">
      <c r="A501" s="2">
        <v>501</v>
      </c>
      <c r="B501" s="4">
        <f>YEAR(H501)</f>
        <v>2023</v>
      </c>
      <c r="C501" s="4">
        <f>MONTH(H501)</f>
        <v>5</v>
      </c>
      <c r="D501" s="4">
        <f>DAY(H501)</f>
        <v>14</v>
      </c>
      <c r="E501" s="4" t="str">
        <f>TEXT(H501,"dddd")</f>
        <v>Sunday</v>
      </c>
      <c r="F501" s="4" t="str">
        <f t="shared" si="8"/>
        <v>May</v>
      </c>
      <c r="G501" s="4"/>
      <c r="H501" s="3">
        <v>45060</v>
      </c>
      <c r="I501" s="4" t="s">
        <v>535</v>
      </c>
      <c r="J501" s="4" t="s">
        <v>27</v>
      </c>
      <c r="K501" s="4">
        <v>42</v>
      </c>
      <c r="L501" s="4" t="str" cm="1">
        <f t="array" ref="L501">_xlfn.IFS(K501&gt;=50, "Senior", K501&gt;=30, "Adult", K501&lt;30, "Young Adult")</f>
        <v>Adult</v>
      </c>
      <c r="M501" s="4" t="s">
        <v>10</v>
      </c>
      <c r="N501" s="4">
        <v>2</v>
      </c>
      <c r="O501" s="5">
        <v>30</v>
      </c>
      <c r="P501">
        <f>N501*O501</f>
        <v>60</v>
      </c>
      <c r="Q501">
        <f>(P501*$U$4)</f>
        <v>0.89999999999999991</v>
      </c>
    </row>
    <row r="502" spans="1:17">
      <c r="A502" s="2">
        <v>502</v>
      </c>
      <c r="B502" s="4">
        <f>YEAR(H502)</f>
        <v>2023</v>
      </c>
      <c r="C502" s="4">
        <f>MONTH(H502)</f>
        <v>4</v>
      </c>
      <c r="D502" s="4">
        <f>DAY(H502)</f>
        <v>2</v>
      </c>
      <c r="E502" s="4" t="str">
        <f>TEXT(H502,"dddd")</f>
        <v>Sunday</v>
      </c>
      <c r="F502" s="4" t="str">
        <f t="shared" si="8"/>
        <v>April</v>
      </c>
      <c r="G502" s="4"/>
      <c r="H502" s="3">
        <v>45018</v>
      </c>
      <c r="I502" s="4" t="s">
        <v>536</v>
      </c>
      <c r="J502" s="4" t="s">
        <v>27</v>
      </c>
      <c r="K502" s="4">
        <v>42</v>
      </c>
      <c r="L502" s="4" t="str" cm="1">
        <f t="array" ref="L502">_xlfn.IFS(K502&gt;=50, "Senior", K502&gt;=30, "Adult", K502&lt;30, "Young Adult")</f>
        <v>Adult</v>
      </c>
      <c r="M502" s="4" t="s">
        <v>10</v>
      </c>
      <c r="N502" s="4">
        <v>3</v>
      </c>
      <c r="O502" s="5">
        <v>50</v>
      </c>
      <c r="P502">
        <f>N502*O502</f>
        <v>150</v>
      </c>
      <c r="Q502">
        <f>(P502*$U$4)</f>
        <v>2.25</v>
      </c>
    </row>
    <row r="503" spans="1:17">
      <c r="A503" s="2">
        <v>503</v>
      </c>
      <c r="B503" s="4">
        <f>YEAR(H503)</f>
        <v>2023</v>
      </c>
      <c r="C503" s="4">
        <f>MONTH(H503)</f>
        <v>10</v>
      </c>
      <c r="D503" s="4">
        <f>DAY(H503)</f>
        <v>25</v>
      </c>
      <c r="E503" s="4" t="str">
        <f>TEXT(H503,"dddd")</f>
        <v>Wednesday</v>
      </c>
      <c r="F503" s="4" t="str">
        <f t="shared" si="8"/>
        <v>October</v>
      </c>
      <c r="G503" s="4"/>
      <c r="H503" s="3">
        <v>45224</v>
      </c>
      <c r="I503" s="4" t="s">
        <v>537</v>
      </c>
      <c r="J503" s="4" t="s">
        <v>27</v>
      </c>
      <c r="K503" s="4">
        <v>42</v>
      </c>
      <c r="L503" s="4" t="str" cm="1">
        <f t="array" ref="L503">_xlfn.IFS(K503&gt;=50, "Senior", K503&gt;=30, "Adult", K503&lt;30, "Young Adult")</f>
        <v>Adult</v>
      </c>
      <c r="M503" s="4" t="s">
        <v>3</v>
      </c>
      <c r="N503" s="4">
        <v>4</v>
      </c>
      <c r="O503" s="5">
        <v>500</v>
      </c>
      <c r="P503">
        <f>N503*O503</f>
        <v>2000</v>
      </c>
      <c r="Q503">
        <f>(P503*$U$4)</f>
        <v>30</v>
      </c>
    </row>
    <row r="504" spans="1:17">
      <c r="A504" s="2">
        <v>504</v>
      </c>
      <c r="B504" s="4">
        <f>YEAR(H504)</f>
        <v>2023</v>
      </c>
      <c r="C504" s="4">
        <f>MONTH(H504)</f>
        <v>5</v>
      </c>
      <c r="D504" s="4">
        <f>DAY(H504)</f>
        <v>16</v>
      </c>
      <c r="E504" s="4" t="str">
        <f>TEXT(H504,"dddd")</f>
        <v>Tuesday</v>
      </c>
      <c r="F504" s="4" t="str">
        <f t="shared" si="8"/>
        <v>May</v>
      </c>
      <c r="G504" s="4"/>
      <c r="H504" s="3">
        <v>45062</v>
      </c>
      <c r="I504" s="4" t="s">
        <v>538</v>
      </c>
      <c r="J504" s="4" t="s">
        <v>29</v>
      </c>
      <c r="K504" s="4">
        <v>42</v>
      </c>
      <c r="L504" s="4" t="str" cm="1">
        <f t="array" ref="L504">_xlfn.IFS(K504&gt;=50, "Senior", K504&gt;=30, "Adult", K504&lt;30, "Young Adult")</f>
        <v>Adult</v>
      </c>
      <c r="M504" s="4" t="s">
        <v>3</v>
      </c>
      <c r="N504" s="4">
        <v>3</v>
      </c>
      <c r="O504" s="5">
        <v>50</v>
      </c>
      <c r="P504">
        <f>N504*O504</f>
        <v>150</v>
      </c>
      <c r="Q504">
        <f>(P504*$U$4)</f>
        <v>2.25</v>
      </c>
    </row>
    <row r="505" spans="1:17">
      <c r="A505" s="2">
        <v>505</v>
      </c>
      <c r="B505" s="4">
        <f>YEAR(H505)</f>
        <v>2023</v>
      </c>
      <c r="C505" s="4">
        <f>MONTH(H505)</f>
        <v>1</v>
      </c>
      <c r="D505" s="4">
        <f>DAY(H505)</f>
        <v>20</v>
      </c>
      <c r="E505" s="4" t="str">
        <f>TEXT(H505,"dddd")</f>
        <v>Friday</v>
      </c>
      <c r="F505" s="4" t="str">
        <f t="shared" si="8"/>
        <v>January</v>
      </c>
      <c r="G505" s="4"/>
      <c r="H505" s="3">
        <v>44946</v>
      </c>
      <c r="I505" s="4" t="s">
        <v>539</v>
      </c>
      <c r="J505" s="4" t="s">
        <v>27</v>
      </c>
      <c r="K505" s="4">
        <v>42</v>
      </c>
      <c r="L505" s="4" t="str" cm="1">
        <f t="array" ref="L505">_xlfn.IFS(K505&gt;=50, "Senior", K505&gt;=30, "Adult", K505&lt;30, "Young Adult")</f>
        <v>Adult</v>
      </c>
      <c r="M505" s="4" t="s">
        <v>3</v>
      </c>
      <c r="N505" s="4">
        <v>1</v>
      </c>
      <c r="O505" s="5">
        <v>50</v>
      </c>
      <c r="P505">
        <f>N505*O505</f>
        <v>50</v>
      </c>
      <c r="Q505">
        <f>(P505*$U$4)</f>
        <v>0.75</v>
      </c>
    </row>
    <row r="506" spans="1:17">
      <c r="A506" s="2">
        <v>506</v>
      </c>
      <c r="B506" s="4">
        <f>YEAR(H506)</f>
        <v>2023</v>
      </c>
      <c r="C506" s="4">
        <f>MONTH(H506)</f>
        <v>2</v>
      </c>
      <c r="D506" s="4">
        <f>DAY(H506)</f>
        <v>25</v>
      </c>
      <c r="E506" s="4" t="str">
        <f>TEXT(H506,"dddd")</f>
        <v>Saturday</v>
      </c>
      <c r="F506" s="4" t="str">
        <f t="shared" si="8"/>
        <v>February</v>
      </c>
      <c r="G506" s="4"/>
      <c r="H506" s="3">
        <v>44982</v>
      </c>
      <c r="I506" s="4" t="s">
        <v>540</v>
      </c>
      <c r="J506" s="4" t="s">
        <v>27</v>
      </c>
      <c r="K506" s="4">
        <v>42</v>
      </c>
      <c r="L506" s="4" t="str" cm="1">
        <f t="array" ref="L506">_xlfn.IFS(K506&gt;=50, "Senior", K506&gt;=30, "Adult", K506&lt;30, "Young Adult")</f>
        <v>Adult</v>
      </c>
      <c r="M506" s="4" t="s">
        <v>3</v>
      </c>
      <c r="N506" s="4">
        <v>3</v>
      </c>
      <c r="O506" s="5">
        <v>500</v>
      </c>
      <c r="P506">
        <f>N506*O506</f>
        <v>1500</v>
      </c>
      <c r="Q506">
        <f>(P506*$U$4)</f>
        <v>22.5</v>
      </c>
    </row>
    <row r="507" spans="1:17">
      <c r="A507" s="2">
        <v>507</v>
      </c>
      <c r="B507" s="4">
        <f>YEAR(H507)</f>
        <v>2023</v>
      </c>
      <c r="C507" s="4">
        <f>MONTH(H507)</f>
        <v>11</v>
      </c>
      <c r="D507" s="4">
        <f>DAY(H507)</f>
        <v>2</v>
      </c>
      <c r="E507" s="4" t="str">
        <f>TEXT(H507,"dddd")</f>
        <v>Thursday</v>
      </c>
      <c r="F507" s="4" t="str">
        <f t="shared" si="8"/>
        <v>November</v>
      </c>
      <c r="G507" s="4"/>
      <c r="H507" s="3">
        <v>45232</v>
      </c>
      <c r="I507" s="4" t="s">
        <v>541</v>
      </c>
      <c r="J507" s="4" t="s">
        <v>29</v>
      </c>
      <c r="K507" s="4">
        <v>42</v>
      </c>
      <c r="L507" s="4" t="str" cm="1">
        <f t="array" ref="L507">_xlfn.IFS(K507&gt;=50, "Senior", K507&gt;=30, "Adult", K507&lt;30, "Young Adult")</f>
        <v>Adult</v>
      </c>
      <c r="M507" s="4" t="s">
        <v>10</v>
      </c>
      <c r="N507" s="4">
        <v>3</v>
      </c>
      <c r="O507" s="5">
        <v>500</v>
      </c>
      <c r="P507">
        <f>N507*O507</f>
        <v>1500</v>
      </c>
      <c r="Q507">
        <f>(P507*$U$4)</f>
        <v>22.5</v>
      </c>
    </row>
    <row r="508" spans="1:17">
      <c r="A508" s="2">
        <v>508</v>
      </c>
      <c r="B508" s="4">
        <f>YEAR(H508)</f>
        <v>2023</v>
      </c>
      <c r="C508" s="4">
        <f>MONTH(H508)</f>
        <v>8</v>
      </c>
      <c r="D508" s="4">
        <f>DAY(H508)</f>
        <v>11</v>
      </c>
      <c r="E508" s="4" t="str">
        <f>TEXT(H508,"dddd")</f>
        <v>Friday</v>
      </c>
      <c r="F508" s="4" t="str">
        <f t="shared" si="8"/>
        <v>August</v>
      </c>
      <c r="G508" s="4"/>
      <c r="H508" s="3">
        <v>45149</v>
      </c>
      <c r="I508" s="4" t="s">
        <v>542</v>
      </c>
      <c r="J508" s="4" t="s">
        <v>27</v>
      </c>
      <c r="K508" s="4">
        <v>42</v>
      </c>
      <c r="L508" s="4" t="str" cm="1">
        <f t="array" ref="L508">_xlfn.IFS(K508&gt;=50, "Senior", K508&gt;=30, "Adult", K508&lt;30, "Young Adult")</f>
        <v>Adult</v>
      </c>
      <c r="M508" s="4" t="s">
        <v>3</v>
      </c>
      <c r="N508" s="4">
        <v>2</v>
      </c>
      <c r="O508" s="5">
        <v>300</v>
      </c>
      <c r="P508">
        <f>N508*O508</f>
        <v>600</v>
      </c>
      <c r="Q508">
        <f>(P508*$U$4)</f>
        <v>9</v>
      </c>
    </row>
    <row r="509" spans="1:17">
      <c r="A509" s="2">
        <v>509</v>
      </c>
      <c r="B509" s="4">
        <f>YEAR(H509)</f>
        <v>2023</v>
      </c>
      <c r="C509" s="4">
        <f>MONTH(H509)</f>
        <v>6</v>
      </c>
      <c r="D509" s="4">
        <f>DAY(H509)</f>
        <v>26</v>
      </c>
      <c r="E509" s="4" t="str">
        <f>TEXT(H509,"dddd")</f>
        <v>Monday</v>
      </c>
      <c r="F509" s="4" t="str">
        <f t="shared" si="8"/>
        <v>June</v>
      </c>
      <c r="G509" s="4"/>
      <c r="H509" s="3">
        <v>45103</v>
      </c>
      <c r="I509" s="4" t="s">
        <v>543</v>
      </c>
      <c r="J509" s="4" t="s">
        <v>29</v>
      </c>
      <c r="K509" s="4">
        <v>42</v>
      </c>
      <c r="L509" s="4" t="str" cm="1">
        <f t="array" ref="L509">_xlfn.IFS(K509&gt;=50, "Senior", K509&gt;=30, "Adult", K509&lt;30, "Young Adult")</f>
        <v>Adult</v>
      </c>
      <c r="M509" s="4" t="s">
        <v>10</v>
      </c>
      <c r="N509" s="4">
        <v>3</v>
      </c>
      <c r="O509" s="5">
        <v>300</v>
      </c>
      <c r="P509">
        <f>N509*O509</f>
        <v>900</v>
      </c>
      <c r="Q509">
        <f>(P509*$U$4)</f>
        <v>13.5</v>
      </c>
    </row>
    <row r="510" spans="1:17">
      <c r="A510" s="2">
        <v>510</v>
      </c>
      <c r="B510" s="4">
        <f>YEAR(H510)</f>
        <v>2023</v>
      </c>
      <c r="C510" s="4">
        <f>MONTH(H510)</f>
        <v>6</v>
      </c>
      <c r="D510" s="4">
        <f>DAY(H510)</f>
        <v>10</v>
      </c>
      <c r="E510" s="4" t="str">
        <f>TEXT(H510,"dddd")</f>
        <v>Saturday</v>
      </c>
      <c r="F510" s="4" t="str">
        <f t="shared" si="8"/>
        <v>June</v>
      </c>
      <c r="G510" s="4"/>
      <c r="H510" s="3">
        <v>45087</v>
      </c>
      <c r="I510" s="4" t="s">
        <v>544</v>
      </c>
      <c r="J510" s="4" t="s">
        <v>29</v>
      </c>
      <c r="K510" s="4">
        <v>42</v>
      </c>
      <c r="L510" s="4" t="str" cm="1">
        <f t="array" ref="L510">_xlfn.IFS(K510&gt;=50, "Senior", K510&gt;=30, "Adult", K510&lt;30, "Young Adult")</f>
        <v>Adult</v>
      </c>
      <c r="M510" s="4" t="s">
        <v>3</v>
      </c>
      <c r="N510" s="4">
        <v>4</v>
      </c>
      <c r="O510" s="5">
        <v>50</v>
      </c>
      <c r="P510">
        <f>N510*O510</f>
        <v>200</v>
      </c>
      <c r="Q510">
        <f>(P510*$U$4)</f>
        <v>3</v>
      </c>
    </row>
    <row r="511" spans="1:17">
      <c r="A511" s="2">
        <v>511</v>
      </c>
      <c r="B511" s="4">
        <f>YEAR(H511)</f>
        <v>2023</v>
      </c>
      <c r="C511" s="4">
        <f>MONTH(H511)</f>
        <v>8</v>
      </c>
      <c r="D511" s="4">
        <f>DAY(H511)</f>
        <v>12</v>
      </c>
      <c r="E511" s="4" t="str">
        <f>TEXT(H511,"dddd")</f>
        <v>Saturday</v>
      </c>
      <c r="F511" s="4" t="str">
        <f t="shared" si="8"/>
        <v>August</v>
      </c>
      <c r="G511" s="4"/>
      <c r="H511" s="3">
        <v>45150</v>
      </c>
      <c r="I511" s="4" t="s">
        <v>545</v>
      </c>
      <c r="J511" s="4" t="s">
        <v>27</v>
      </c>
      <c r="K511" s="4">
        <v>42</v>
      </c>
      <c r="L511" s="4" t="str" cm="1">
        <f t="array" ref="L511">_xlfn.IFS(K511&gt;=50, "Senior", K511&gt;=30, "Adult", K511&lt;30, "Young Adult")</f>
        <v>Adult</v>
      </c>
      <c r="M511" s="4" t="s">
        <v>3</v>
      </c>
      <c r="N511" s="4">
        <v>2</v>
      </c>
      <c r="O511" s="5">
        <v>50</v>
      </c>
      <c r="P511">
        <f>N511*O511</f>
        <v>100</v>
      </c>
      <c r="Q511">
        <f>(P511*$U$4)</f>
        <v>1.5</v>
      </c>
    </row>
    <row r="512" spans="1:17">
      <c r="A512" s="2">
        <v>512</v>
      </c>
      <c r="B512" s="4">
        <f>YEAR(H512)</f>
        <v>2023</v>
      </c>
      <c r="C512" s="4">
        <f>MONTH(H512)</f>
        <v>11</v>
      </c>
      <c r="D512" s="4">
        <f>DAY(H512)</f>
        <v>7</v>
      </c>
      <c r="E512" s="4" t="str">
        <f>TEXT(H512,"dddd")</f>
        <v>Tuesday</v>
      </c>
      <c r="F512" s="4" t="str">
        <f t="shared" si="8"/>
        <v>November</v>
      </c>
      <c r="G512" s="4"/>
      <c r="H512" s="3">
        <v>45237</v>
      </c>
      <c r="I512" s="4" t="s">
        <v>546</v>
      </c>
      <c r="J512" s="4" t="s">
        <v>29</v>
      </c>
      <c r="K512" s="4">
        <v>42</v>
      </c>
      <c r="L512" s="4" t="str" cm="1">
        <f t="array" ref="L512">_xlfn.IFS(K512&gt;=50, "Senior", K512&gt;=30, "Adult", K512&lt;30, "Young Adult")</f>
        <v>Adult</v>
      </c>
      <c r="M512" s="4" t="s">
        <v>3</v>
      </c>
      <c r="N512" s="4">
        <v>1</v>
      </c>
      <c r="O512" s="5">
        <v>25</v>
      </c>
      <c r="P512">
        <f>N512*O512</f>
        <v>25</v>
      </c>
      <c r="Q512">
        <f>(P512*$U$4)</f>
        <v>0.375</v>
      </c>
    </row>
    <row r="513" spans="1:17">
      <c r="A513" s="2">
        <v>513</v>
      </c>
      <c r="B513" s="4">
        <f>YEAR(H513)</f>
        <v>2023</v>
      </c>
      <c r="C513" s="4">
        <f>MONTH(H513)</f>
        <v>9</v>
      </c>
      <c r="D513" s="4">
        <f>DAY(H513)</f>
        <v>19</v>
      </c>
      <c r="E513" s="4" t="str">
        <f>TEXT(H513,"dddd")</f>
        <v>Tuesday</v>
      </c>
      <c r="F513" s="4" t="str">
        <f t="shared" si="8"/>
        <v>September</v>
      </c>
      <c r="G513" s="4"/>
      <c r="H513" s="3">
        <v>45188</v>
      </c>
      <c r="I513" s="4" t="s">
        <v>547</v>
      </c>
      <c r="J513" s="4" t="s">
        <v>27</v>
      </c>
      <c r="K513" s="4">
        <v>42</v>
      </c>
      <c r="L513" s="4" t="str" cm="1">
        <f t="array" ref="L513">_xlfn.IFS(K513&gt;=50, "Senior", K513&gt;=30, "Adult", K513&lt;30, "Young Adult")</f>
        <v>Adult</v>
      </c>
      <c r="M513" s="4" t="s">
        <v>10</v>
      </c>
      <c r="N513" s="4">
        <v>4</v>
      </c>
      <c r="O513" s="5">
        <v>25</v>
      </c>
      <c r="P513">
        <f>N513*O513</f>
        <v>100</v>
      </c>
      <c r="Q513">
        <f>(P513*$U$4)</f>
        <v>1.5</v>
      </c>
    </row>
    <row r="514" spans="1:17">
      <c r="A514" s="2">
        <v>514</v>
      </c>
      <c r="B514" s="4">
        <f>YEAR(H514)</f>
        <v>2023</v>
      </c>
      <c r="C514" s="4">
        <f>MONTH(H514)</f>
        <v>3</v>
      </c>
      <c r="D514" s="4">
        <f>DAY(H514)</f>
        <v>1</v>
      </c>
      <c r="E514" s="4" t="str">
        <f>TEXT(H514,"dddd")</f>
        <v>Wednesday</v>
      </c>
      <c r="F514" s="4" t="str">
        <f t="shared" si="8"/>
        <v>March</v>
      </c>
      <c r="G514" s="4"/>
      <c r="H514" s="3">
        <v>44986</v>
      </c>
      <c r="I514" s="4" t="s">
        <v>548</v>
      </c>
      <c r="J514" s="4" t="s">
        <v>29</v>
      </c>
      <c r="K514" s="4">
        <v>41</v>
      </c>
      <c r="L514" s="4" t="str" cm="1">
        <f t="array" ref="L514">_xlfn.IFS(K514&gt;=50, "Senior", K514&gt;=30, "Adult", K514&lt;30, "Young Adult")</f>
        <v>Adult</v>
      </c>
      <c r="M514" s="4" t="s">
        <v>10</v>
      </c>
      <c r="N514" s="4">
        <v>1</v>
      </c>
      <c r="O514" s="5">
        <v>300</v>
      </c>
      <c r="P514">
        <f>N514*O514</f>
        <v>300</v>
      </c>
      <c r="Q514">
        <f>(P514*$U$4)</f>
        <v>4.5</v>
      </c>
    </row>
    <row r="515" spans="1:17">
      <c r="A515" s="2">
        <v>515</v>
      </c>
      <c r="B515" s="4">
        <f>YEAR(H515)</f>
        <v>2023</v>
      </c>
      <c r="C515" s="4">
        <f>MONTH(H515)</f>
        <v>7</v>
      </c>
      <c r="D515" s="4">
        <f>DAY(H515)</f>
        <v>17</v>
      </c>
      <c r="E515" s="4" t="str">
        <f>TEXT(H515,"dddd")</f>
        <v>Monday</v>
      </c>
      <c r="F515" s="4" t="str">
        <f t="shared" ref="F515:F578" si="9">TEXT(H515,"mmmm")</f>
        <v>July</v>
      </c>
      <c r="G515" s="4"/>
      <c r="H515" s="3">
        <v>45124</v>
      </c>
      <c r="I515" s="4" t="s">
        <v>549</v>
      </c>
      <c r="J515" s="4" t="s">
        <v>29</v>
      </c>
      <c r="K515" s="4">
        <v>41</v>
      </c>
      <c r="L515" s="4" t="str" cm="1">
        <f t="array" ref="L515">_xlfn.IFS(K515&gt;=50, "Senior", K515&gt;=30, "Adult", K515&lt;30, "Young Adult")</f>
        <v>Adult</v>
      </c>
      <c r="M515" s="4" t="s">
        <v>8</v>
      </c>
      <c r="N515" s="4">
        <v>3</v>
      </c>
      <c r="O515" s="5">
        <v>300</v>
      </c>
      <c r="P515">
        <f>N515*O515</f>
        <v>900</v>
      </c>
      <c r="Q515">
        <f>(P515*$U$4)</f>
        <v>13.5</v>
      </c>
    </row>
    <row r="516" spans="1:17">
      <c r="A516" s="2">
        <v>516</v>
      </c>
      <c r="B516" s="4">
        <f>YEAR(H516)</f>
        <v>2023</v>
      </c>
      <c r="C516" s="4">
        <f>MONTH(H516)</f>
        <v>10</v>
      </c>
      <c r="D516" s="4">
        <f>DAY(H516)</f>
        <v>23</v>
      </c>
      <c r="E516" s="4" t="str">
        <f>TEXT(H516,"dddd")</f>
        <v>Monday</v>
      </c>
      <c r="F516" s="4" t="str">
        <f t="shared" si="9"/>
        <v>October</v>
      </c>
      <c r="G516" s="4"/>
      <c r="H516" s="3">
        <v>45222</v>
      </c>
      <c r="I516" s="4" t="s">
        <v>550</v>
      </c>
      <c r="J516" s="4" t="s">
        <v>27</v>
      </c>
      <c r="K516" s="4">
        <v>41</v>
      </c>
      <c r="L516" s="4" t="str" cm="1">
        <f t="array" ref="L516">_xlfn.IFS(K516&gt;=50, "Senior", K516&gt;=30, "Adult", K516&lt;30, "Young Adult")</f>
        <v>Adult</v>
      </c>
      <c r="M516" s="4" t="s">
        <v>3</v>
      </c>
      <c r="N516" s="4">
        <v>4</v>
      </c>
      <c r="O516" s="5">
        <v>25</v>
      </c>
      <c r="P516">
        <f>N516*O516</f>
        <v>100</v>
      </c>
      <c r="Q516">
        <f>(P516*$U$4)</f>
        <v>1.5</v>
      </c>
    </row>
    <row r="517" spans="1:17">
      <c r="A517" s="2">
        <v>517</v>
      </c>
      <c r="B517" s="4">
        <f>YEAR(H517)</f>
        <v>2023</v>
      </c>
      <c r="C517" s="4">
        <f>MONTH(H517)</f>
        <v>4</v>
      </c>
      <c r="D517" s="4">
        <f>DAY(H517)</f>
        <v>8</v>
      </c>
      <c r="E517" s="4" t="str">
        <f>TEXT(H517,"dddd")</f>
        <v>Saturday</v>
      </c>
      <c r="F517" s="4" t="str">
        <f t="shared" si="9"/>
        <v>April</v>
      </c>
      <c r="G517" s="4"/>
      <c r="H517" s="3">
        <v>45024</v>
      </c>
      <c r="I517" s="4" t="s">
        <v>551</v>
      </c>
      <c r="J517" s="4" t="s">
        <v>29</v>
      </c>
      <c r="K517" s="4">
        <v>41</v>
      </c>
      <c r="L517" s="4" t="str" cm="1">
        <f t="array" ref="L517">_xlfn.IFS(K517&gt;=50, "Senior", K517&gt;=30, "Adult", K517&lt;30, "Young Adult")</f>
        <v>Adult</v>
      </c>
      <c r="M517" s="4" t="s">
        <v>8</v>
      </c>
      <c r="N517" s="4">
        <v>4</v>
      </c>
      <c r="O517" s="5">
        <v>25</v>
      </c>
      <c r="P517">
        <f>N517*O517</f>
        <v>100</v>
      </c>
      <c r="Q517">
        <f>(P517*$U$4)</f>
        <v>1.5</v>
      </c>
    </row>
    <row r="518" spans="1:17">
      <c r="A518" s="2">
        <v>518</v>
      </c>
      <c r="B518" s="4">
        <f>YEAR(H518)</f>
        <v>2023</v>
      </c>
      <c r="C518" s="4">
        <f>MONTH(H518)</f>
        <v>5</v>
      </c>
      <c r="D518" s="4">
        <f>DAY(H518)</f>
        <v>11</v>
      </c>
      <c r="E518" s="4" t="str">
        <f>TEXT(H518,"dddd")</f>
        <v>Thursday</v>
      </c>
      <c r="F518" s="4" t="str">
        <f t="shared" si="9"/>
        <v>May</v>
      </c>
      <c r="G518" s="4"/>
      <c r="H518" s="3">
        <v>45057</v>
      </c>
      <c r="I518" s="4" t="s">
        <v>552</v>
      </c>
      <c r="J518" s="4" t="s">
        <v>29</v>
      </c>
      <c r="K518" s="4">
        <v>41</v>
      </c>
      <c r="L518" s="4" t="str" cm="1">
        <f t="array" ref="L518">_xlfn.IFS(K518&gt;=50, "Senior", K518&gt;=30, "Adult", K518&lt;30, "Young Adult")</f>
        <v>Adult</v>
      </c>
      <c r="M518" s="4" t="s">
        <v>8</v>
      </c>
      <c r="N518" s="4">
        <v>1</v>
      </c>
      <c r="O518" s="5">
        <v>30</v>
      </c>
      <c r="P518">
        <f>N518*O518</f>
        <v>30</v>
      </c>
      <c r="Q518">
        <f>(P518*$U$4)</f>
        <v>0.44999999999999996</v>
      </c>
    </row>
    <row r="519" spans="1:17">
      <c r="A519" s="2">
        <v>519</v>
      </c>
      <c r="B519" s="4">
        <f>YEAR(H519)</f>
        <v>2023</v>
      </c>
      <c r="C519" s="4">
        <f>MONTH(H519)</f>
        <v>1</v>
      </c>
      <c r="D519" s="4">
        <f>DAY(H519)</f>
        <v>23</v>
      </c>
      <c r="E519" s="4" t="str">
        <f>TEXT(H519,"dddd")</f>
        <v>Monday</v>
      </c>
      <c r="F519" s="4" t="str">
        <f t="shared" si="9"/>
        <v>January</v>
      </c>
      <c r="G519" s="4"/>
      <c r="H519" s="3">
        <v>44949</v>
      </c>
      <c r="I519" s="4" t="s">
        <v>553</v>
      </c>
      <c r="J519" s="4" t="s">
        <v>29</v>
      </c>
      <c r="K519" s="4">
        <v>41</v>
      </c>
      <c r="L519" s="4" t="str" cm="1">
        <f t="array" ref="L519">_xlfn.IFS(K519&gt;=50, "Senior", K519&gt;=30, "Adult", K519&lt;30, "Young Adult")</f>
        <v>Adult</v>
      </c>
      <c r="M519" s="4" t="s">
        <v>10</v>
      </c>
      <c r="N519" s="4">
        <v>4</v>
      </c>
      <c r="O519" s="5">
        <v>30</v>
      </c>
      <c r="P519">
        <f>N519*O519</f>
        <v>120</v>
      </c>
      <c r="Q519">
        <f>(P519*$U$4)</f>
        <v>1.7999999999999998</v>
      </c>
    </row>
    <row r="520" spans="1:17">
      <c r="A520" s="2">
        <v>520</v>
      </c>
      <c r="B520" s="4">
        <f>YEAR(H520)</f>
        <v>2023</v>
      </c>
      <c r="C520" s="4">
        <f>MONTH(H520)</f>
        <v>12</v>
      </c>
      <c r="D520" s="4">
        <f>DAY(H520)</f>
        <v>29</v>
      </c>
      <c r="E520" s="4" t="str">
        <f>TEXT(H520,"dddd")</f>
        <v>Friday</v>
      </c>
      <c r="F520" s="4" t="str">
        <f t="shared" si="9"/>
        <v>December</v>
      </c>
      <c r="G520" s="4"/>
      <c r="H520" s="3">
        <v>45289</v>
      </c>
      <c r="I520" s="4" t="s">
        <v>554</v>
      </c>
      <c r="J520" s="4" t="s">
        <v>29</v>
      </c>
      <c r="K520" s="4">
        <v>41</v>
      </c>
      <c r="L520" s="4" t="str" cm="1">
        <f t="array" ref="L520">_xlfn.IFS(K520&gt;=50, "Senior", K520&gt;=30, "Adult", K520&lt;30, "Young Adult")</f>
        <v>Adult</v>
      </c>
      <c r="M520" s="4" t="s">
        <v>10</v>
      </c>
      <c r="N520" s="4">
        <v>4</v>
      </c>
      <c r="O520" s="5">
        <v>25</v>
      </c>
      <c r="P520">
        <f>N520*O520</f>
        <v>100</v>
      </c>
      <c r="Q520">
        <f>(P520*$U$4)</f>
        <v>1.5</v>
      </c>
    </row>
    <row r="521" spans="1:17">
      <c r="A521" s="2">
        <v>521</v>
      </c>
      <c r="B521" s="4">
        <f>YEAR(H521)</f>
        <v>2023</v>
      </c>
      <c r="C521" s="4">
        <f>MONTH(H521)</f>
        <v>8</v>
      </c>
      <c r="D521" s="4">
        <f>DAY(H521)</f>
        <v>12</v>
      </c>
      <c r="E521" s="4" t="str">
        <f>TEXT(H521,"dddd")</f>
        <v>Saturday</v>
      </c>
      <c r="F521" s="4" t="str">
        <f t="shared" si="9"/>
        <v>August</v>
      </c>
      <c r="G521" s="4"/>
      <c r="H521" s="3">
        <v>45150</v>
      </c>
      <c r="I521" s="4" t="s">
        <v>555</v>
      </c>
      <c r="J521" s="4" t="s">
        <v>29</v>
      </c>
      <c r="K521" s="4">
        <v>41</v>
      </c>
      <c r="L521" s="4" t="str" cm="1">
        <f t="array" ref="L521">_xlfn.IFS(K521&gt;=50, "Senior", K521&gt;=30, "Adult", K521&lt;30, "Young Adult")</f>
        <v>Adult</v>
      </c>
      <c r="M521" s="4" t="s">
        <v>8</v>
      </c>
      <c r="N521" s="4">
        <v>4</v>
      </c>
      <c r="O521" s="5">
        <v>30</v>
      </c>
      <c r="P521">
        <f>N521*O521</f>
        <v>120</v>
      </c>
      <c r="Q521">
        <f>(P521*$U$4)</f>
        <v>1.7999999999999998</v>
      </c>
    </row>
    <row r="522" spans="1:17">
      <c r="A522" s="2">
        <v>522</v>
      </c>
      <c r="B522" s="4">
        <f>YEAR(H522)</f>
        <v>2023</v>
      </c>
      <c r="C522" s="4">
        <f>MONTH(H522)</f>
        <v>1</v>
      </c>
      <c r="D522" s="4">
        <f>DAY(H522)</f>
        <v>1</v>
      </c>
      <c r="E522" s="4" t="str">
        <f>TEXT(H522,"dddd")</f>
        <v>Sunday</v>
      </c>
      <c r="F522" s="4" t="str">
        <f t="shared" si="9"/>
        <v>January</v>
      </c>
      <c r="G522" s="4"/>
      <c r="H522" s="3">
        <v>44927</v>
      </c>
      <c r="I522" s="4" t="s">
        <v>556</v>
      </c>
      <c r="J522" s="4" t="s">
        <v>27</v>
      </c>
      <c r="K522" s="4">
        <v>41</v>
      </c>
      <c r="L522" s="4" t="str" cm="1">
        <f t="array" ref="L522">_xlfn.IFS(K522&gt;=50, "Senior", K522&gt;=30, "Adult", K522&lt;30, "Young Adult")</f>
        <v>Adult</v>
      </c>
      <c r="M522" s="4" t="s">
        <v>3</v>
      </c>
      <c r="N522" s="4">
        <v>3</v>
      </c>
      <c r="O522" s="5">
        <v>500</v>
      </c>
      <c r="P522">
        <f>N522*O522</f>
        <v>1500</v>
      </c>
      <c r="Q522">
        <f>(P522*$U$4)</f>
        <v>22.5</v>
      </c>
    </row>
    <row r="523" spans="1:17">
      <c r="A523" s="2">
        <v>523</v>
      </c>
      <c r="B523" s="4">
        <f>YEAR(H523)</f>
        <v>2023</v>
      </c>
      <c r="C523" s="4">
        <f>MONTH(H523)</f>
        <v>9</v>
      </c>
      <c r="D523" s="4">
        <f>DAY(H523)</f>
        <v>24</v>
      </c>
      <c r="E523" s="4" t="str">
        <f>TEXT(H523,"dddd")</f>
        <v>Sunday</v>
      </c>
      <c r="F523" s="4" t="str">
        <f t="shared" si="9"/>
        <v>September</v>
      </c>
      <c r="G523" s="4"/>
      <c r="H523" s="3">
        <v>45193</v>
      </c>
      <c r="I523" s="4" t="s">
        <v>557</v>
      </c>
      <c r="J523" s="4" t="s">
        <v>29</v>
      </c>
      <c r="K523" s="4">
        <v>41</v>
      </c>
      <c r="L523" s="4" t="str" cm="1">
        <f t="array" ref="L523">_xlfn.IFS(K523&gt;=50, "Senior", K523&gt;=30, "Adult", K523&lt;30, "Young Adult")</f>
        <v>Adult</v>
      </c>
      <c r="M523" s="4" t="s">
        <v>10</v>
      </c>
      <c r="N523" s="4">
        <v>1</v>
      </c>
      <c r="O523" s="5">
        <v>300</v>
      </c>
      <c r="P523">
        <f>N523*O523</f>
        <v>300</v>
      </c>
      <c r="Q523">
        <f>(P523*$U$4)</f>
        <v>4.5</v>
      </c>
    </row>
    <row r="524" spans="1:17">
      <c r="A524" s="2">
        <v>524</v>
      </c>
      <c r="B524" s="4">
        <f>YEAR(H524)</f>
        <v>2023</v>
      </c>
      <c r="C524" s="4">
        <f>MONTH(H524)</f>
        <v>10</v>
      </c>
      <c r="D524" s="4">
        <f>DAY(H524)</f>
        <v>3</v>
      </c>
      <c r="E524" s="4" t="str">
        <f>TEXT(H524,"dddd")</f>
        <v>Tuesday</v>
      </c>
      <c r="F524" s="4" t="str">
        <f t="shared" si="9"/>
        <v>October</v>
      </c>
      <c r="G524" s="4"/>
      <c r="H524" s="3">
        <v>45202</v>
      </c>
      <c r="I524" s="4" t="s">
        <v>558</v>
      </c>
      <c r="J524" s="4" t="s">
        <v>27</v>
      </c>
      <c r="K524" s="4">
        <v>41</v>
      </c>
      <c r="L524" s="4" t="str" cm="1">
        <f t="array" ref="L524">_xlfn.IFS(K524&gt;=50, "Senior", K524&gt;=30, "Adult", K524&lt;30, "Young Adult")</f>
        <v>Adult</v>
      </c>
      <c r="M524" s="4" t="s">
        <v>3</v>
      </c>
      <c r="N524" s="4">
        <v>4</v>
      </c>
      <c r="O524" s="5">
        <v>300</v>
      </c>
      <c r="P524">
        <f>N524*O524</f>
        <v>1200</v>
      </c>
      <c r="Q524">
        <f>(P524*$U$4)</f>
        <v>18</v>
      </c>
    </row>
    <row r="525" spans="1:17">
      <c r="A525" s="2">
        <v>525</v>
      </c>
      <c r="B525" s="4">
        <f>YEAR(H525)</f>
        <v>2023</v>
      </c>
      <c r="C525" s="4">
        <f>MONTH(H525)</f>
        <v>12</v>
      </c>
      <c r="D525" s="4">
        <f>DAY(H525)</f>
        <v>18</v>
      </c>
      <c r="E525" s="4" t="str">
        <f>TEXT(H525,"dddd")</f>
        <v>Monday</v>
      </c>
      <c r="F525" s="4" t="str">
        <f t="shared" si="9"/>
        <v>December</v>
      </c>
      <c r="G525" s="4"/>
      <c r="H525" s="3">
        <v>45278</v>
      </c>
      <c r="I525" s="4" t="s">
        <v>559</v>
      </c>
      <c r="J525" s="4" t="s">
        <v>29</v>
      </c>
      <c r="K525" s="4">
        <v>41</v>
      </c>
      <c r="L525" s="4" t="str" cm="1">
        <f t="array" ref="L525">_xlfn.IFS(K525&gt;=50, "Senior", K525&gt;=30, "Adult", K525&lt;30, "Young Adult")</f>
        <v>Adult</v>
      </c>
      <c r="M525" s="4" t="s">
        <v>3</v>
      </c>
      <c r="N525" s="4">
        <v>2</v>
      </c>
      <c r="O525" s="5">
        <v>25</v>
      </c>
      <c r="P525">
        <f>N525*O525</f>
        <v>50</v>
      </c>
      <c r="Q525">
        <f>(P525*$U$4)</f>
        <v>0.75</v>
      </c>
    </row>
    <row r="526" spans="1:17">
      <c r="A526" s="2">
        <v>526</v>
      </c>
      <c r="B526" s="4">
        <f>YEAR(H526)</f>
        <v>2023</v>
      </c>
      <c r="C526" s="4">
        <f>MONTH(H526)</f>
        <v>12</v>
      </c>
      <c r="D526" s="4">
        <f>DAY(H526)</f>
        <v>10</v>
      </c>
      <c r="E526" s="4" t="str">
        <f>TEXT(H526,"dddd")</f>
        <v>Sunday</v>
      </c>
      <c r="F526" s="4" t="str">
        <f t="shared" si="9"/>
        <v>December</v>
      </c>
      <c r="G526" s="4"/>
      <c r="H526" s="3">
        <v>45270</v>
      </c>
      <c r="I526" s="4" t="s">
        <v>560</v>
      </c>
      <c r="J526" s="4" t="s">
        <v>27</v>
      </c>
      <c r="K526" s="4">
        <v>41</v>
      </c>
      <c r="L526" s="4" t="str" cm="1">
        <f t="array" ref="L526">_xlfn.IFS(K526&gt;=50, "Senior", K526&gt;=30, "Adult", K526&lt;30, "Young Adult")</f>
        <v>Adult</v>
      </c>
      <c r="M526" s="4" t="s">
        <v>8</v>
      </c>
      <c r="N526" s="4">
        <v>2</v>
      </c>
      <c r="O526" s="5">
        <v>50</v>
      </c>
      <c r="P526">
        <f>N526*O526</f>
        <v>100</v>
      </c>
      <c r="Q526">
        <f>(P526*$U$4)</f>
        <v>1.5</v>
      </c>
    </row>
    <row r="527" spans="1:17">
      <c r="A527" s="2">
        <v>527</v>
      </c>
      <c r="B527" s="4">
        <f>YEAR(H527)</f>
        <v>2023</v>
      </c>
      <c r="C527" s="4">
        <f>MONTH(H527)</f>
        <v>4</v>
      </c>
      <c r="D527" s="4">
        <f>DAY(H527)</f>
        <v>11</v>
      </c>
      <c r="E527" s="4" t="str">
        <f>TEXT(H527,"dddd")</f>
        <v>Tuesday</v>
      </c>
      <c r="F527" s="4" t="str">
        <f t="shared" si="9"/>
        <v>April</v>
      </c>
      <c r="G527" s="4"/>
      <c r="H527" s="3">
        <v>45027</v>
      </c>
      <c r="I527" s="4" t="s">
        <v>561</v>
      </c>
      <c r="J527" s="4" t="s">
        <v>27</v>
      </c>
      <c r="K527" s="4">
        <v>41</v>
      </c>
      <c r="L527" s="4" t="str" cm="1">
        <f t="array" ref="L527">_xlfn.IFS(K527&gt;=50, "Senior", K527&gt;=30, "Adult", K527&lt;30, "Young Adult")</f>
        <v>Adult</v>
      </c>
      <c r="M527" s="4" t="s">
        <v>8</v>
      </c>
      <c r="N527" s="4">
        <v>2</v>
      </c>
      <c r="O527" s="5">
        <v>25</v>
      </c>
      <c r="P527">
        <f>N527*O527</f>
        <v>50</v>
      </c>
      <c r="Q527">
        <f>(P527*$U$4)</f>
        <v>0.75</v>
      </c>
    </row>
    <row r="528" spans="1:17">
      <c r="A528" s="2">
        <v>528</v>
      </c>
      <c r="B528" s="4">
        <f>YEAR(H528)</f>
        <v>2023</v>
      </c>
      <c r="C528" s="4">
        <f>MONTH(H528)</f>
        <v>7</v>
      </c>
      <c r="D528" s="4">
        <f>DAY(H528)</f>
        <v>6</v>
      </c>
      <c r="E528" s="4" t="str">
        <f>TEXT(H528,"dddd")</f>
        <v>Thursday</v>
      </c>
      <c r="F528" s="4" t="str">
        <f t="shared" si="9"/>
        <v>July</v>
      </c>
      <c r="G528" s="4"/>
      <c r="H528" s="3">
        <v>45113</v>
      </c>
      <c r="I528" s="4" t="s">
        <v>562</v>
      </c>
      <c r="J528" s="4" t="s">
        <v>29</v>
      </c>
      <c r="K528" s="4">
        <v>41</v>
      </c>
      <c r="L528" s="4" t="str" cm="1">
        <f t="array" ref="L528">_xlfn.IFS(K528&gt;=50, "Senior", K528&gt;=30, "Adult", K528&lt;30, "Young Adult")</f>
        <v>Adult</v>
      </c>
      <c r="M528" s="4" t="s">
        <v>8</v>
      </c>
      <c r="N528" s="4">
        <v>2</v>
      </c>
      <c r="O528" s="5">
        <v>30</v>
      </c>
      <c r="P528">
        <f>N528*O528</f>
        <v>60</v>
      </c>
      <c r="Q528">
        <f>(P528*$U$4)</f>
        <v>0.89999999999999991</v>
      </c>
    </row>
    <row r="529" spans="1:17">
      <c r="A529" s="2">
        <v>529</v>
      </c>
      <c r="B529" s="4">
        <f>YEAR(H529)</f>
        <v>2023</v>
      </c>
      <c r="C529" s="4">
        <f>MONTH(H529)</f>
        <v>8</v>
      </c>
      <c r="D529" s="4">
        <f>DAY(H529)</f>
        <v>9</v>
      </c>
      <c r="E529" s="4" t="str">
        <f>TEXT(H529,"dddd")</f>
        <v>Wednesday</v>
      </c>
      <c r="F529" s="4" t="str">
        <f t="shared" si="9"/>
        <v>August</v>
      </c>
      <c r="G529" s="4"/>
      <c r="H529" s="3">
        <v>45147</v>
      </c>
      <c r="I529" s="4" t="s">
        <v>563</v>
      </c>
      <c r="J529" s="4" t="s">
        <v>29</v>
      </c>
      <c r="K529" s="4">
        <v>41</v>
      </c>
      <c r="L529" s="4" t="str" cm="1">
        <f t="array" ref="L529">_xlfn.IFS(K529&gt;=50, "Senior", K529&gt;=30, "Adult", K529&lt;30, "Young Adult")</f>
        <v>Adult</v>
      </c>
      <c r="M529" s="4" t="s">
        <v>8</v>
      </c>
      <c r="N529" s="4">
        <v>3</v>
      </c>
      <c r="O529" s="5">
        <v>50</v>
      </c>
      <c r="P529">
        <f>N529*O529</f>
        <v>150</v>
      </c>
      <c r="Q529">
        <f>(P529*$U$4)</f>
        <v>2.25</v>
      </c>
    </row>
    <row r="530" spans="1:17">
      <c r="A530" s="2">
        <v>530</v>
      </c>
      <c r="B530" s="4">
        <f>YEAR(H530)</f>
        <v>2023</v>
      </c>
      <c r="C530" s="4">
        <f>MONTH(H530)</f>
        <v>2</v>
      </c>
      <c r="D530" s="4">
        <f>DAY(H530)</f>
        <v>5</v>
      </c>
      <c r="E530" s="4" t="str">
        <f>TEXT(H530,"dddd")</f>
        <v>Sunday</v>
      </c>
      <c r="F530" s="4" t="str">
        <f t="shared" si="9"/>
        <v>February</v>
      </c>
      <c r="G530" s="4"/>
      <c r="H530" s="3">
        <v>44962</v>
      </c>
      <c r="I530" s="4" t="s">
        <v>564</v>
      </c>
      <c r="J530" s="4" t="s">
        <v>29</v>
      </c>
      <c r="K530" s="4">
        <v>41</v>
      </c>
      <c r="L530" s="4" t="str" cm="1">
        <f t="array" ref="L530">_xlfn.IFS(K530&gt;=50, "Senior", K530&gt;=30, "Adult", K530&lt;30, "Young Adult")</f>
        <v>Adult</v>
      </c>
      <c r="M530" s="4" t="s">
        <v>10</v>
      </c>
      <c r="N530" s="4">
        <v>4</v>
      </c>
      <c r="O530" s="5">
        <v>30</v>
      </c>
      <c r="P530">
        <f>N530*O530</f>
        <v>120</v>
      </c>
      <c r="Q530">
        <f>(P530*$U$4)</f>
        <v>1.7999999999999998</v>
      </c>
    </row>
    <row r="531" spans="1:17">
      <c r="A531" s="2">
        <v>531</v>
      </c>
      <c r="B531" s="4">
        <f>YEAR(H531)</f>
        <v>2023</v>
      </c>
      <c r="C531" s="4">
        <f>MONTH(H531)</f>
        <v>12</v>
      </c>
      <c r="D531" s="4">
        <f>DAY(H531)</f>
        <v>7</v>
      </c>
      <c r="E531" s="4" t="str">
        <f>TEXT(H531,"dddd")</f>
        <v>Thursday</v>
      </c>
      <c r="F531" s="4" t="str">
        <f t="shared" si="9"/>
        <v>December</v>
      </c>
      <c r="G531" s="4"/>
      <c r="H531" s="3">
        <v>45267</v>
      </c>
      <c r="I531" s="4" t="s">
        <v>565</v>
      </c>
      <c r="J531" s="4" t="s">
        <v>27</v>
      </c>
      <c r="K531" s="4">
        <v>41</v>
      </c>
      <c r="L531" s="4" t="str" cm="1">
        <f t="array" ref="L531">_xlfn.IFS(K531&gt;=50, "Senior", K531&gt;=30, "Adult", K531&lt;30, "Young Adult")</f>
        <v>Adult</v>
      </c>
      <c r="M531" s="4" t="s">
        <v>10</v>
      </c>
      <c r="N531" s="4">
        <v>1</v>
      </c>
      <c r="O531" s="5">
        <v>500</v>
      </c>
      <c r="P531">
        <f>N531*O531</f>
        <v>500</v>
      </c>
      <c r="Q531">
        <f>(P531*$U$4)</f>
        <v>7.5</v>
      </c>
    </row>
    <row r="532" spans="1:17">
      <c r="A532" s="2">
        <v>532</v>
      </c>
      <c r="B532" s="4">
        <f>YEAR(H532)</f>
        <v>2023</v>
      </c>
      <c r="C532" s="4">
        <f>MONTH(H532)</f>
        <v>6</v>
      </c>
      <c r="D532" s="4">
        <f>DAY(H532)</f>
        <v>19</v>
      </c>
      <c r="E532" s="4" t="str">
        <f>TEXT(H532,"dddd")</f>
        <v>Monday</v>
      </c>
      <c r="F532" s="4" t="str">
        <f t="shared" si="9"/>
        <v>June</v>
      </c>
      <c r="G532" s="4"/>
      <c r="H532" s="3">
        <v>45096</v>
      </c>
      <c r="I532" s="4" t="s">
        <v>566</v>
      </c>
      <c r="J532" s="4" t="s">
        <v>29</v>
      </c>
      <c r="K532" s="4">
        <v>41</v>
      </c>
      <c r="L532" s="4" t="str" cm="1">
        <f t="array" ref="L532">_xlfn.IFS(K532&gt;=50, "Senior", K532&gt;=30, "Adult", K532&lt;30, "Young Adult")</f>
        <v>Adult</v>
      </c>
      <c r="M532" s="4" t="s">
        <v>8</v>
      </c>
      <c r="N532" s="4">
        <v>4</v>
      </c>
      <c r="O532" s="5">
        <v>30</v>
      </c>
      <c r="P532">
        <f>N532*O532</f>
        <v>120</v>
      </c>
      <c r="Q532">
        <f>(P532*$U$4)</f>
        <v>1.7999999999999998</v>
      </c>
    </row>
    <row r="533" spans="1:17">
      <c r="A533" s="2">
        <v>533</v>
      </c>
      <c r="B533" s="4">
        <f>YEAR(H533)</f>
        <v>2023</v>
      </c>
      <c r="C533" s="4">
        <f>MONTH(H533)</f>
        <v>11</v>
      </c>
      <c r="D533" s="4">
        <f>DAY(H533)</f>
        <v>16</v>
      </c>
      <c r="E533" s="4" t="str">
        <f>TEXT(H533,"dddd")</f>
        <v>Thursday</v>
      </c>
      <c r="F533" s="4" t="str">
        <f t="shared" si="9"/>
        <v>November</v>
      </c>
      <c r="G533" s="4"/>
      <c r="H533" s="3">
        <v>45246</v>
      </c>
      <c r="I533" s="4" t="s">
        <v>567</v>
      </c>
      <c r="J533" s="4" t="s">
        <v>27</v>
      </c>
      <c r="K533" s="4">
        <v>41</v>
      </c>
      <c r="L533" s="4" t="str" cm="1">
        <f t="array" ref="L533">_xlfn.IFS(K533&gt;=50, "Senior", K533&gt;=30, "Adult", K533&lt;30, "Young Adult")</f>
        <v>Adult</v>
      </c>
      <c r="M533" s="4" t="s">
        <v>10</v>
      </c>
      <c r="N533" s="4">
        <v>3</v>
      </c>
      <c r="O533" s="5">
        <v>500</v>
      </c>
      <c r="P533">
        <f>N533*O533</f>
        <v>1500</v>
      </c>
      <c r="Q533">
        <f>(P533*$U$4)</f>
        <v>22.5</v>
      </c>
    </row>
    <row r="534" spans="1:17">
      <c r="A534" s="2">
        <v>534</v>
      </c>
      <c r="B534" s="4">
        <f>YEAR(H534)</f>
        <v>2023</v>
      </c>
      <c r="C534" s="4">
        <f>MONTH(H534)</f>
        <v>6</v>
      </c>
      <c r="D534" s="4">
        <f>DAY(H534)</f>
        <v>10</v>
      </c>
      <c r="E534" s="4" t="str">
        <f>TEXT(H534,"dddd")</f>
        <v>Saturday</v>
      </c>
      <c r="F534" s="4" t="str">
        <f t="shared" si="9"/>
        <v>June</v>
      </c>
      <c r="G534" s="4"/>
      <c r="H534" s="3">
        <v>45087</v>
      </c>
      <c r="I534" s="4" t="s">
        <v>568</v>
      </c>
      <c r="J534" s="4" t="s">
        <v>27</v>
      </c>
      <c r="K534" s="4">
        <v>41</v>
      </c>
      <c r="L534" s="4" t="str" cm="1">
        <f t="array" ref="L534">_xlfn.IFS(K534&gt;=50, "Senior", K534&gt;=30, "Adult", K534&lt;30, "Young Adult")</f>
        <v>Adult</v>
      </c>
      <c r="M534" s="4" t="s">
        <v>8</v>
      </c>
      <c r="N534" s="4">
        <v>2</v>
      </c>
      <c r="O534" s="5">
        <v>500</v>
      </c>
      <c r="P534">
        <f>N534*O534</f>
        <v>1000</v>
      </c>
      <c r="Q534">
        <f>(P534*$U$4)</f>
        <v>15</v>
      </c>
    </row>
    <row r="535" spans="1:17">
      <c r="A535" s="2">
        <v>535</v>
      </c>
      <c r="B535" s="4">
        <f>YEAR(H535)</f>
        <v>2023</v>
      </c>
      <c r="C535" s="4">
        <f>MONTH(H535)</f>
        <v>12</v>
      </c>
      <c r="D535" s="4">
        <f>DAY(H535)</f>
        <v>6</v>
      </c>
      <c r="E535" s="4" t="str">
        <f>TEXT(H535,"dddd")</f>
        <v>Wednesday</v>
      </c>
      <c r="F535" s="4" t="str">
        <f t="shared" si="9"/>
        <v>December</v>
      </c>
      <c r="G535" s="4"/>
      <c r="H535" s="3">
        <v>45266</v>
      </c>
      <c r="I535" s="4" t="s">
        <v>569</v>
      </c>
      <c r="J535" s="4" t="s">
        <v>27</v>
      </c>
      <c r="K535" s="4">
        <v>40</v>
      </c>
      <c r="L535" s="4" t="str" cm="1">
        <f t="array" ref="L535">_xlfn.IFS(K535&gt;=50, "Senior", K535&gt;=30, "Adult", K535&lt;30, "Young Adult")</f>
        <v>Adult</v>
      </c>
      <c r="M535" s="4" t="s">
        <v>3</v>
      </c>
      <c r="N535" s="4">
        <v>3</v>
      </c>
      <c r="O535" s="5">
        <v>30</v>
      </c>
      <c r="P535">
        <f>N535*O535</f>
        <v>90</v>
      </c>
      <c r="Q535">
        <f>(P535*$U$4)</f>
        <v>1.3499999999999999</v>
      </c>
    </row>
    <row r="536" spans="1:17">
      <c r="A536" s="2">
        <v>536</v>
      </c>
      <c r="B536" s="4">
        <f>YEAR(H536)</f>
        <v>2023</v>
      </c>
      <c r="C536" s="4">
        <f>MONTH(H536)</f>
        <v>3</v>
      </c>
      <c r="D536" s="4">
        <f>DAY(H536)</f>
        <v>5</v>
      </c>
      <c r="E536" s="4" t="str">
        <f>TEXT(H536,"dddd")</f>
        <v>Sunday</v>
      </c>
      <c r="F536" s="4" t="str">
        <f t="shared" si="9"/>
        <v>March</v>
      </c>
      <c r="G536" s="4"/>
      <c r="H536" s="3">
        <v>44990</v>
      </c>
      <c r="I536" s="4" t="s">
        <v>570</v>
      </c>
      <c r="J536" s="4" t="s">
        <v>29</v>
      </c>
      <c r="K536" s="4">
        <v>40</v>
      </c>
      <c r="L536" s="4" t="str" cm="1">
        <f t="array" ref="L536">_xlfn.IFS(K536&gt;=50, "Senior", K536&gt;=30, "Adult", K536&lt;30, "Young Adult")</f>
        <v>Adult</v>
      </c>
      <c r="M536" s="4" t="s">
        <v>3</v>
      </c>
      <c r="N536" s="4">
        <v>4</v>
      </c>
      <c r="O536" s="5">
        <v>30</v>
      </c>
      <c r="P536">
        <f>N536*O536</f>
        <v>120</v>
      </c>
      <c r="Q536">
        <f>(P536*$U$4)</f>
        <v>1.7999999999999998</v>
      </c>
    </row>
    <row r="537" spans="1:17">
      <c r="A537" s="2">
        <v>537</v>
      </c>
      <c r="B537" s="4">
        <f>YEAR(H537)</f>
        <v>2023</v>
      </c>
      <c r="C537" s="4">
        <f>MONTH(H537)</f>
        <v>6</v>
      </c>
      <c r="D537" s="4">
        <f>DAY(H537)</f>
        <v>3</v>
      </c>
      <c r="E537" s="4" t="str">
        <f>TEXT(H537,"dddd")</f>
        <v>Saturday</v>
      </c>
      <c r="F537" s="4" t="str">
        <f t="shared" si="9"/>
        <v>June</v>
      </c>
      <c r="G537" s="4"/>
      <c r="H537" s="3">
        <v>45080</v>
      </c>
      <c r="I537" s="4" t="s">
        <v>571</v>
      </c>
      <c r="J537" s="4" t="s">
        <v>29</v>
      </c>
      <c r="K537" s="4">
        <v>40</v>
      </c>
      <c r="L537" s="4" t="str" cm="1">
        <f t="array" ref="L537">_xlfn.IFS(K537&gt;=50, "Senior", K537&gt;=30, "Adult", K537&lt;30, "Young Adult")</f>
        <v>Adult</v>
      </c>
      <c r="M537" s="4" t="s">
        <v>3</v>
      </c>
      <c r="N537" s="4">
        <v>1</v>
      </c>
      <c r="O537" s="5">
        <v>500</v>
      </c>
      <c r="P537">
        <f>N537*O537</f>
        <v>500</v>
      </c>
      <c r="Q537">
        <f>(P537*$U$4)</f>
        <v>7.5</v>
      </c>
    </row>
    <row r="538" spans="1:17">
      <c r="A538" s="2">
        <v>538</v>
      </c>
      <c r="B538" s="4">
        <f>YEAR(H538)</f>
        <v>2023</v>
      </c>
      <c r="C538" s="4">
        <f>MONTH(H538)</f>
        <v>9</v>
      </c>
      <c r="D538" s="4">
        <f>DAY(H538)</f>
        <v>17</v>
      </c>
      <c r="E538" s="4" t="str">
        <f>TEXT(H538,"dddd")</f>
        <v>Sunday</v>
      </c>
      <c r="F538" s="4" t="str">
        <f t="shared" si="9"/>
        <v>September</v>
      </c>
      <c r="G538" s="4"/>
      <c r="H538" s="3">
        <v>45186</v>
      </c>
      <c r="I538" s="4" t="s">
        <v>572</v>
      </c>
      <c r="J538" s="4" t="s">
        <v>27</v>
      </c>
      <c r="K538" s="4">
        <v>40</v>
      </c>
      <c r="L538" s="4" t="str" cm="1">
        <f t="array" ref="L538">_xlfn.IFS(K538&gt;=50, "Senior", K538&gt;=30, "Adult", K538&lt;30, "Young Adult")</f>
        <v>Adult</v>
      </c>
      <c r="M538" s="4" t="s">
        <v>8</v>
      </c>
      <c r="N538" s="4">
        <v>3</v>
      </c>
      <c r="O538" s="5">
        <v>50</v>
      </c>
      <c r="P538">
        <f>N538*O538</f>
        <v>150</v>
      </c>
      <c r="Q538">
        <f>(P538*$U$4)</f>
        <v>2.25</v>
      </c>
    </row>
    <row r="539" spans="1:17">
      <c r="A539" s="2">
        <v>539</v>
      </c>
      <c r="B539" s="4">
        <f>YEAR(H539)</f>
        <v>2023</v>
      </c>
      <c r="C539" s="4">
        <f>MONTH(H539)</f>
        <v>6</v>
      </c>
      <c r="D539" s="4">
        <f>DAY(H539)</f>
        <v>8</v>
      </c>
      <c r="E539" s="4" t="str">
        <f>TEXT(H539,"dddd")</f>
        <v>Thursday</v>
      </c>
      <c r="F539" s="4" t="str">
        <f t="shared" si="9"/>
        <v>June</v>
      </c>
      <c r="G539" s="4"/>
      <c r="H539" s="3">
        <v>45085</v>
      </c>
      <c r="I539" s="4" t="s">
        <v>573</v>
      </c>
      <c r="J539" s="4" t="s">
        <v>27</v>
      </c>
      <c r="K539" s="4">
        <v>40</v>
      </c>
      <c r="L539" s="4" t="str" cm="1">
        <f t="array" ref="L539">_xlfn.IFS(K539&gt;=50, "Senior", K539&gt;=30, "Adult", K539&lt;30, "Young Adult")</f>
        <v>Adult</v>
      </c>
      <c r="M539" s="4" t="s">
        <v>3</v>
      </c>
      <c r="N539" s="4">
        <v>1</v>
      </c>
      <c r="O539" s="5">
        <v>500</v>
      </c>
      <c r="P539">
        <f>N539*O539</f>
        <v>500</v>
      </c>
      <c r="Q539">
        <f>(P539*$U$4)</f>
        <v>7.5</v>
      </c>
    </row>
    <row r="540" spans="1:17">
      <c r="A540" s="2">
        <v>540</v>
      </c>
      <c r="B540" s="4">
        <f>YEAR(H540)</f>
        <v>2023</v>
      </c>
      <c r="C540" s="4">
        <f>MONTH(H540)</f>
        <v>12</v>
      </c>
      <c r="D540" s="4">
        <f>DAY(H540)</f>
        <v>8</v>
      </c>
      <c r="E540" s="4" t="str">
        <f>TEXT(H540,"dddd")</f>
        <v>Friday</v>
      </c>
      <c r="F540" s="4" t="str">
        <f t="shared" si="9"/>
        <v>December</v>
      </c>
      <c r="G540" s="4"/>
      <c r="H540" s="3">
        <v>45268</v>
      </c>
      <c r="I540" s="4" t="s">
        <v>574</v>
      </c>
      <c r="J540" s="4" t="s">
        <v>29</v>
      </c>
      <c r="K540" s="4">
        <v>40</v>
      </c>
      <c r="L540" s="4" t="str" cm="1">
        <f t="array" ref="L540">_xlfn.IFS(K540&gt;=50, "Senior", K540&gt;=30, "Adult", K540&lt;30, "Young Adult")</f>
        <v>Adult</v>
      </c>
      <c r="M540" s="4" t="s">
        <v>10</v>
      </c>
      <c r="N540" s="4">
        <v>3</v>
      </c>
      <c r="O540" s="5">
        <v>300</v>
      </c>
      <c r="P540">
        <f>N540*O540</f>
        <v>900</v>
      </c>
      <c r="Q540">
        <f>(P540*$U$4)</f>
        <v>13.5</v>
      </c>
    </row>
    <row r="541" spans="1:17">
      <c r="A541" s="2">
        <v>541</v>
      </c>
      <c r="B541" s="4">
        <f>YEAR(H541)</f>
        <v>2023</v>
      </c>
      <c r="C541" s="4">
        <f>MONTH(H541)</f>
        <v>7</v>
      </c>
      <c r="D541" s="4">
        <f>DAY(H541)</f>
        <v>29</v>
      </c>
      <c r="E541" s="4" t="str">
        <f>TEXT(H541,"dddd")</f>
        <v>Saturday</v>
      </c>
      <c r="F541" s="4" t="str">
        <f t="shared" si="9"/>
        <v>July</v>
      </c>
      <c r="G541" s="4"/>
      <c r="H541" s="3">
        <v>45136</v>
      </c>
      <c r="I541" s="4" t="s">
        <v>575</v>
      </c>
      <c r="J541" s="4" t="s">
        <v>27</v>
      </c>
      <c r="K541" s="4">
        <v>40</v>
      </c>
      <c r="L541" s="4" t="str" cm="1">
        <f t="array" ref="L541">_xlfn.IFS(K541&gt;=50, "Senior", K541&gt;=30, "Adult", K541&lt;30, "Young Adult")</f>
        <v>Adult</v>
      </c>
      <c r="M541" s="4" t="s">
        <v>3</v>
      </c>
      <c r="N541" s="4">
        <v>1</v>
      </c>
      <c r="O541" s="5">
        <v>500</v>
      </c>
      <c r="P541">
        <f>N541*O541</f>
        <v>500</v>
      </c>
      <c r="Q541">
        <f>(P541*$U$4)</f>
        <v>7.5</v>
      </c>
    </row>
    <row r="542" spans="1:17">
      <c r="A542" s="2">
        <v>542</v>
      </c>
      <c r="B542" s="4">
        <f>YEAR(H542)</f>
        <v>2023</v>
      </c>
      <c r="C542" s="4">
        <f>MONTH(H542)</f>
        <v>6</v>
      </c>
      <c r="D542" s="4">
        <f>DAY(H542)</f>
        <v>17</v>
      </c>
      <c r="E542" s="4" t="str">
        <f>TEXT(H542,"dddd")</f>
        <v>Saturday</v>
      </c>
      <c r="F542" s="4" t="str">
        <f t="shared" si="9"/>
        <v>June</v>
      </c>
      <c r="G542" s="4"/>
      <c r="H542" s="3">
        <v>45094</v>
      </c>
      <c r="I542" s="4" t="s">
        <v>576</v>
      </c>
      <c r="J542" s="4" t="s">
        <v>29</v>
      </c>
      <c r="K542" s="4">
        <v>40</v>
      </c>
      <c r="L542" s="4" t="str" cm="1">
        <f t="array" ref="L542">_xlfn.IFS(K542&gt;=50, "Senior", K542&gt;=30, "Adult", K542&lt;30, "Young Adult")</f>
        <v>Adult</v>
      </c>
      <c r="M542" s="4" t="s">
        <v>3</v>
      </c>
      <c r="N542" s="4">
        <v>1</v>
      </c>
      <c r="O542" s="5">
        <v>50</v>
      </c>
      <c r="P542">
        <f>N542*O542</f>
        <v>50</v>
      </c>
      <c r="Q542">
        <f>(P542*$U$4)</f>
        <v>0.75</v>
      </c>
    </row>
    <row r="543" spans="1:17">
      <c r="A543" s="2">
        <v>543</v>
      </c>
      <c r="B543" s="4">
        <f>YEAR(H543)</f>
        <v>2023</v>
      </c>
      <c r="C543" s="4">
        <f>MONTH(H543)</f>
        <v>7</v>
      </c>
      <c r="D543" s="4">
        <f>DAY(H543)</f>
        <v>26</v>
      </c>
      <c r="E543" s="4" t="str">
        <f>TEXT(H543,"dddd")</f>
        <v>Wednesday</v>
      </c>
      <c r="F543" s="4" t="str">
        <f t="shared" si="9"/>
        <v>July</v>
      </c>
      <c r="G543" s="4"/>
      <c r="H543" s="3">
        <v>45133</v>
      </c>
      <c r="I543" s="4" t="s">
        <v>577</v>
      </c>
      <c r="J543" s="4" t="s">
        <v>27</v>
      </c>
      <c r="K543" s="4">
        <v>40</v>
      </c>
      <c r="L543" s="4" t="str" cm="1">
        <f t="array" ref="L543">_xlfn.IFS(K543&gt;=50, "Senior", K543&gt;=30, "Adult", K543&lt;30, "Young Adult")</f>
        <v>Adult</v>
      </c>
      <c r="M543" s="4" t="s">
        <v>3</v>
      </c>
      <c r="N543" s="4">
        <v>2</v>
      </c>
      <c r="O543" s="5">
        <v>300</v>
      </c>
      <c r="P543">
        <f>N543*O543</f>
        <v>600</v>
      </c>
      <c r="Q543">
        <f>(P543*$U$4)</f>
        <v>9</v>
      </c>
    </row>
    <row r="544" spans="1:17">
      <c r="A544" s="2">
        <v>544</v>
      </c>
      <c r="B544" s="4">
        <f>YEAR(H544)</f>
        <v>2023</v>
      </c>
      <c r="C544" s="4">
        <f>MONTH(H544)</f>
        <v>12</v>
      </c>
      <c r="D544" s="4">
        <f>DAY(H544)</f>
        <v>23</v>
      </c>
      <c r="E544" s="4" t="str">
        <f>TEXT(H544,"dddd")</f>
        <v>Saturday</v>
      </c>
      <c r="F544" s="4" t="str">
        <f t="shared" si="9"/>
        <v>December</v>
      </c>
      <c r="G544" s="4"/>
      <c r="H544" s="3">
        <v>45283</v>
      </c>
      <c r="I544" s="4" t="s">
        <v>578</v>
      </c>
      <c r="J544" s="4" t="s">
        <v>29</v>
      </c>
      <c r="K544" s="4">
        <v>40</v>
      </c>
      <c r="L544" s="4" t="str" cm="1">
        <f t="array" ref="L544">_xlfn.IFS(K544&gt;=50, "Senior", K544&gt;=30, "Adult", K544&lt;30, "Young Adult")</f>
        <v>Adult</v>
      </c>
      <c r="M544" s="4" t="s">
        <v>10</v>
      </c>
      <c r="N544" s="4">
        <v>1</v>
      </c>
      <c r="O544" s="5">
        <v>25</v>
      </c>
      <c r="P544">
        <f>N544*O544</f>
        <v>25</v>
      </c>
      <c r="Q544">
        <f>(P544*$U$4)</f>
        <v>0.375</v>
      </c>
    </row>
    <row r="545" spans="1:17">
      <c r="A545" s="2">
        <v>545</v>
      </c>
      <c r="B545" s="4">
        <f>YEAR(H545)</f>
        <v>2023</v>
      </c>
      <c r="C545" s="4">
        <f>MONTH(H545)</f>
        <v>6</v>
      </c>
      <c r="D545" s="4">
        <f>DAY(H545)</f>
        <v>1</v>
      </c>
      <c r="E545" s="4" t="str">
        <f>TEXT(H545,"dddd")</f>
        <v>Thursday</v>
      </c>
      <c r="F545" s="4" t="str">
        <f t="shared" si="9"/>
        <v>June</v>
      </c>
      <c r="G545" s="4"/>
      <c r="H545" s="3">
        <v>45078</v>
      </c>
      <c r="I545" s="4" t="s">
        <v>579</v>
      </c>
      <c r="J545" s="4" t="s">
        <v>27</v>
      </c>
      <c r="K545" s="4">
        <v>40</v>
      </c>
      <c r="L545" s="4" t="str" cm="1">
        <f t="array" ref="L545">_xlfn.IFS(K545&gt;=50, "Senior", K545&gt;=30, "Adult", K545&lt;30, "Young Adult")</f>
        <v>Adult</v>
      </c>
      <c r="M545" s="4" t="s">
        <v>8</v>
      </c>
      <c r="N545" s="4">
        <v>2</v>
      </c>
      <c r="O545" s="5">
        <v>25</v>
      </c>
      <c r="P545">
        <f>N545*O545</f>
        <v>50</v>
      </c>
      <c r="Q545">
        <f>(P545*$U$4)</f>
        <v>0.75</v>
      </c>
    </row>
    <row r="546" spans="1:17">
      <c r="A546" s="2">
        <v>546</v>
      </c>
      <c r="B546" s="4">
        <f>YEAR(H546)</f>
        <v>2023</v>
      </c>
      <c r="C546" s="4">
        <f>MONTH(H546)</f>
        <v>10</v>
      </c>
      <c r="D546" s="4">
        <f>DAY(H546)</f>
        <v>11</v>
      </c>
      <c r="E546" s="4" t="str">
        <f>TEXT(H546,"dddd")</f>
        <v>Wednesday</v>
      </c>
      <c r="F546" s="4" t="str">
        <f t="shared" si="9"/>
        <v>October</v>
      </c>
      <c r="G546" s="4"/>
      <c r="H546" s="3">
        <v>45210</v>
      </c>
      <c r="I546" s="4" t="s">
        <v>580</v>
      </c>
      <c r="J546" s="4" t="s">
        <v>29</v>
      </c>
      <c r="K546" s="4">
        <v>40</v>
      </c>
      <c r="L546" s="4" t="str" cm="1">
        <f t="array" ref="L546">_xlfn.IFS(K546&gt;=50, "Senior", K546&gt;=30, "Adult", K546&lt;30, "Young Adult")</f>
        <v>Adult</v>
      </c>
      <c r="M546" s="4" t="s">
        <v>10</v>
      </c>
      <c r="N546" s="4">
        <v>4</v>
      </c>
      <c r="O546" s="5">
        <v>50</v>
      </c>
      <c r="P546">
        <f>N546*O546</f>
        <v>200</v>
      </c>
      <c r="Q546">
        <f>(P546*$U$4)</f>
        <v>3</v>
      </c>
    </row>
    <row r="547" spans="1:17">
      <c r="A547" s="2">
        <v>547</v>
      </c>
      <c r="B547" s="4">
        <f>YEAR(H547)</f>
        <v>2023</v>
      </c>
      <c r="C547" s="4">
        <f>MONTH(H547)</f>
        <v>3</v>
      </c>
      <c r="D547" s="4">
        <f>DAY(H547)</f>
        <v>7</v>
      </c>
      <c r="E547" s="4" t="str">
        <f>TEXT(H547,"dddd")</f>
        <v>Tuesday</v>
      </c>
      <c r="F547" s="4" t="str">
        <f t="shared" si="9"/>
        <v>March</v>
      </c>
      <c r="G547" s="4"/>
      <c r="H547" s="3">
        <v>44992</v>
      </c>
      <c r="I547" s="4" t="s">
        <v>581</v>
      </c>
      <c r="J547" s="4" t="s">
        <v>27</v>
      </c>
      <c r="K547" s="4">
        <v>40</v>
      </c>
      <c r="L547" s="4" t="str" cm="1">
        <f t="array" ref="L547">_xlfn.IFS(K547&gt;=50, "Senior", K547&gt;=30, "Adult", K547&lt;30, "Young Adult")</f>
        <v>Adult</v>
      </c>
      <c r="M547" s="4" t="s">
        <v>8</v>
      </c>
      <c r="N547" s="4">
        <v>4</v>
      </c>
      <c r="O547" s="5">
        <v>500</v>
      </c>
      <c r="P547">
        <f>N547*O547</f>
        <v>2000</v>
      </c>
      <c r="Q547">
        <f>(P547*$U$4)</f>
        <v>30</v>
      </c>
    </row>
    <row r="548" spans="1:17">
      <c r="A548" s="2">
        <v>548</v>
      </c>
      <c r="B548" s="4">
        <f>YEAR(H548)</f>
        <v>2023</v>
      </c>
      <c r="C548" s="4">
        <f>MONTH(H548)</f>
        <v>4</v>
      </c>
      <c r="D548" s="4">
        <f>DAY(H548)</f>
        <v>9</v>
      </c>
      <c r="E548" s="4" t="str">
        <f>TEXT(H548,"dddd")</f>
        <v>Sunday</v>
      </c>
      <c r="F548" s="4" t="str">
        <f t="shared" si="9"/>
        <v>April</v>
      </c>
      <c r="G548" s="4"/>
      <c r="H548" s="3">
        <v>45025</v>
      </c>
      <c r="I548" s="4" t="s">
        <v>582</v>
      </c>
      <c r="J548" s="4" t="s">
        <v>29</v>
      </c>
      <c r="K548" s="4">
        <v>40</v>
      </c>
      <c r="L548" s="4" t="str" cm="1">
        <f t="array" ref="L548">_xlfn.IFS(K548&gt;=50, "Senior", K548&gt;=30, "Adult", K548&lt;30, "Young Adult")</f>
        <v>Adult</v>
      </c>
      <c r="M548" s="4" t="s">
        <v>8</v>
      </c>
      <c r="N548" s="4">
        <v>2</v>
      </c>
      <c r="O548" s="5">
        <v>30</v>
      </c>
      <c r="P548">
        <f>N548*O548</f>
        <v>60</v>
      </c>
      <c r="Q548">
        <f>(P548*$U$4)</f>
        <v>0.89999999999999991</v>
      </c>
    </row>
    <row r="549" spans="1:17">
      <c r="A549" s="2">
        <v>549</v>
      </c>
      <c r="B549" s="4">
        <f>YEAR(H549)</f>
        <v>2023</v>
      </c>
      <c r="C549" s="4">
        <f>MONTH(H549)</f>
        <v>8</v>
      </c>
      <c r="D549" s="4">
        <f>DAY(H549)</f>
        <v>4</v>
      </c>
      <c r="E549" s="4" t="str">
        <f>TEXT(H549,"dddd")</f>
        <v>Friday</v>
      </c>
      <c r="F549" s="4" t="str">
        <f t="shared" si="9"/>
        <v>August</v>
      </c>
      <c r="G549" s="4"/>
      <c r="H549" s="3">
        <v>45142</v>
      </c>
      <c r="I549" s="4" t="s">
        <v>583</v>
      </c>
      <c r="J549" s="4" t="s">
        <v>29</v>
      </c>
      <c r="K549" s="4">
        <v>40</v>
      </c>
      <c r="L549" s="4" t="str" cm="1">
        <f t="array" ref="L549">_xlfn.IFS(K549&gt;=50, "Senior", K549&gt;=30, "Adult", K549&lt;30, "Young Adult")</f>
        <v>Adult</v>
      </c>
      <c r="M549" s="4" t="s">
        <v>3</v>
      </c>
      <c r="N549" s="4">
        <v>2</v>
      </c>
      <c r="O549" s="5">
        <v>50</v>
      </c>
      <c r="P549">
        <f>N549*O549</f>
        <v>100</v>
      </c>
      <c r="Q549">
        <f>(P549*$U$4)</f>
        <v>1.5</v>
      </c>
    </row>
    <row r="550" spans="1:17">
      <c r="A550" s="2">
        <v>550</v>
      </c>
      <c r="B550" s="4">
        <f>YEAR(H550)</f>
        <v>2023</v>
      </c>
      <c r="C550" s="4">
        <f>MONTH(H550)</f>
        <v>12</v>
      </c>
      <c r="D550" s="4">
        <f>DAY(H550)</f>
        <v>7</v>
      </c>
      <c r="E550" s="4" t="str">
        <f>TEXT(H550,"dddd")</f>
        <v>Thursday</v>
      </c>
      <c r="F550" s="4" t="str">
        <f t="shared" si="9"/>
        <v>December</v>
      </c>
      <c r="G550" s="4"/>
      <c r="H550" s="3">
        <v>45267</v>
      </c>
      <c r="I550" s="4" t="s">
        <v>584</v>
      </c>
      <c r="J550" s="4" t="s">
        <v>27</v>
      </c>
      <c r="K550" s="4">
        <v>40</v>
      </c>
      <c r="L550" s="4" t="str" cm="1">
        <f t="array" ref="L550">_xlfn.IFS(K550&gt;=50, "Senior", K550&gt;=30, "Adult", K550&lt;30, "Young Adult")</f>
        <v>Adult</v>
      </c>
      <c r="M550" s="4" t="s">
        <v>8</v>
      </c>
      <c r="N550" s="4">
        <v>3</v>
      </c>
      <c r="O550" s="5">
        <v>300</v>
      </c>
      <c r="P550">
        <f>N550*O550</f>
        <v>900</v>
      </c>
      <c r="Q550">
        <f>(P550*$U$4)</f>
        <v>13.5</v>
      </c>
    </row>
    <row r="551" spans="1:17">
      <c r="A551" s="2">
        <v>551</v>
      </c>
      <c r="B551" s="4">
        <f>YEAR(H551)</f>
        <v>2023</v>
      </c>
      <c r="C551" s="4">
        <f>MONTH(H551)</f>
        <v>7</v>
      </c>
      <c r="D551" s="4">
        <f>DAY(H551)</f>
        <v>14</v>
      </c>
      <c r="E551" s="4" t="str">
        <f>TEXT(H551,"dddd")</f>
        <v>Friday</v>
      </c>
      <c r="F551" s="4" t="str">
        <f t="shared" si="9"/>
        <v>July</v>
      </c>
      <c r="G551" s="4"/>
      <c r="H551" s="3">
        <v>45121</v>
      </c>
      <c r="I551" s="4" t="s">
        <v>585</v>
      </c>
      <c r="J551" s="4" t="s">
        <v>27</v>
      </c>
      <c r="K551" s="4">
        <v>40</v>
      </c>
      <c r="L551" s="4" t="str" cm="1">
        <f t="array" ref="L551">_xlfn.IFS(K551&gt;=50, "Senior", K551&gt;=30, "Adult", K551&lt;30, "Young Adult")</f>
        <v>Adult</v>
      </c>
      <c r="M551" s="4" t="s">
        <v>10</v>
      </c>
      <c r="N551" s="4">
        <v>3</v>
      </c>
      <c r="O551" s="5">
        <v>300</v>
      </c>
      <c r="P551">
        <f>N551*O551</f>
        <v>900</v>
      </c>
      <c r="Q551">
        <f>(P551*$U$4)</f>
        <v>13.5</v>
      </c>
    </row>
    <row r="552" spans="1:17">
      <c r="A552" s="2">
        <v>552</v>
      </c>
      <c r="B552" s="4">
        <f>YEAR(H552)</f>
        <v>2023</v>
      </c>
      <c r="C552" s="4">
        <f>MONTH(H552)</f>
        <v>12</v>
      </c>
      <c r="D552" s="4">
        <f>DAY(H552)</f>
        <v>13</v>
      </c>
      <c r="E552" s="4" t="str">
        <f>TEXT(H552,"dddd")</f>
        <v>Wednesday</v>
      </c>
      <c r="F552" s="4" t="str">
        <f t="shared" si="9"/>
        <v>December</v>
      </c>
      <c r="G552" s="4"/>
      <c r="H552" s="3">
        <v>45273</v>
      </c>
      <c r="I552" s="4" t="s">
        <v>586</v>
      </c>
      <c r="J552" s="4" t="s">
        <v>29</v>
      </c>
      <c r="K552" s="4">
        <v>40</v>
      </c>
      <c r="L552" s="4" t="str" cm="1">
        <f t="array" ref="L552">_xlfn.IFS(K552&gt;=50, "Senior", K552&gt;=30, "Adult", K552&lt;30, "Young Adult")</f>
        <v>Adult</v>
      </c>
      <c r="M552" s="4" t="s">
        <v>10</v>
      </c>
      <c r="N552" s="4">
        <v>3</v>
      </c>
      <c r="O552" s="5">
        <v>25</v>
      </c>
      <c r="P552">
        <f>N552*O552</f>
        <v>75</v>
      </c>
      <c r="Q552">
        <f>(P552*$U$4)</f>
        <v>1.125</v>
      </c>
    </row>
    <row r="553" spans="1:17">
      <c r="A553" s="2">
        <v>553</v>
      </c>
      <c r="B553" s="4">
        <f>YEAR(H553)</f>
        <v>2023</v>
      </c>
      <c r="C553" s="4">
        <f>MONTH(H553)</f>
        <v>3</v>
      </c>
      <c r="D553" s="4">
        <f>DAY(H553)</f>
        <v>31</v>
      </c>
      <c r="E553" s="4" t="str">
        <f>TEXT(H553,"dddd")</f>
        <v>Friday</v>
      </c>
      <c r="F553" s="4" t="str">
        <f t="shared" si="9"/>
        <v>March</v>
      </c>
      <c r="G553" s="4"/>
      <c r="H553" s="3">
        <v>45016</v>
      </c>
      <c r="I553" s="4" t="s">
        <v>587</v>
      </c>
      <c r="J553" s="4" t="s">
        <v>27</v>
      </c>
      <c r="K553" s="4">
        <v>40</v>
      </c>
      <c r="L553" s="4" t="str" cm="1">
        <f t="array" ref="L553">_xlfn.IFS(K553&gt;=50, "Senior", K553&gt;=30, "Adult", K553&lt;30, "Young Adult")</f>
        <v>Adult</v>
      </c>
      <c r="M553" s="4" t="s">
        <v>8</v>
      </c>
      <c r="N553" s="4">
        <v>4</v>
      </c>
      <c r="O553" s="5">
        <v>300</v>
      </c>
      <c r="P553">
        <f>N553*O553</f>
        <v>1200</v>
      </c>
      <c r="Q553">
        <f>(P553*$U$4)</f>
        <v>18</v>
      </c>
    </row>
    <row r="554" spans="1:17">
      <c r="A554" s="2">
        <v>554</v>
      </c>
      <c r="B554" s="4">
        <f>YEAR(H554)</f>
        <v>2023</v>
      </c>
      <c r="C554" s="4">
        <f>MONTH(H554)</f>
        <v>11</v>
      </c>
      <c r="D554" s="4">
        <f>DAY(H554)</f>
        <v>12</v>
      </c>
      <c r="E554" s="4" t="str">
        <f>TEXT(H554,"dddd")</f>
        <v>Sunday</v>
      </c>
      <c r="F554" s="4" t="str">
        <f t="shared" si="9"/>
        <v>November</v>
      </c>
      <c r="G554" s="4"/>
      <c r="H554" s="3">
        <v>45242</v>
      </c>
      <c r="I554" s="4" t="s">
        <v>588</v>
      </c>
      <c r="J554" s="4" t="s">
        <v>29</v>
      </c>
      <c r="K554" s="4">
        <v>40</v>
      </c>
      <c r="L554" s="4" t="str" cm="1">
        <f t="array" ref="L554">_xlfn.IFS(K554&gt;=50, "Senior", K554&gt;=30, "Adult", K554&lt;30, "Young Adult")</f>
        <v>Adult</v>
      </c>
      <c r="M554" s="4" t="s">
        <v>3</v>
      </c>
      <c r="N554" s="4">
        <v>3</v>
      </c>
      <c r="O554" s="5">
        <v>50</v>
      </c>
      <c r="P554">
        <f>N554*O554</f>
        <v>150</v>
      </c>
      <c r="Q554">
        <f>(P554*$U$4)</f>
        <v>2.25</v>
      </c>
    </row>
    <row r="555" spans="1:17">
      <c r="A555" s="2">
        <v>555</v>
      </c>
      <c r="B555" s="4">
        <f>YEAR(H555)</f>
        <v>2023</v>
      </c>
      <c r="C555" s="4">
        <f>MONTH(H555)</f>
        <v>10</v>
      </c>
      <c r="D555" s="4">
        <f>DAY(H555)</f>
        <v>19</v>
      </c>
      <c r="E555" s="4" t="str">
        <f>TEXT(H555,"dddd")</f>
        <v>Thursday</v>
      </c>
      <c r="F555" s="4" t="str">
        <f t="shared" si="9"/>
        <v>October</v>
      </c>
      <c r="G555" s="4"/>
      <c r="H555" s="3">
        <v>45218</v>
      </c>
      <c r="I555" s="4" t="s">
        <v>589</v>
      </c>
      <c r="J555" s="4" t="s">
        <v>27</v>
      </c>
      <c r="K555" s="4">
        <v>40</v>
      </c>
      <c r="L555" s="4" t="str" cm="1">
        <f t="array" ref="L555">_xlfn.IFS(K555&gt;=50, "Senior", K555&gt;=30, "Adult", K555&lt;30, "Young Adult")</f>
        <v>Adult</v>
      </c>
      <c r="M555" s="4" t="s">
        <v>3</v>
      </c>
      <c r="N555" s="4">
        <v>1</v>
      </c>
      <c r="O555" s="5">
        <v>300</v>
      </c>
      <c r="P555">
        <f>N555*O555</f>
        <v>300</v>
      </c>
      <c r="Q555">
        <f>(P555*$U$4)</f>
        <v>4.5</v>
      </c>
    </row>
    <row r="556" spans="1:17">
      <c r="A556" s="2">
        <v>556</v>
      </c>
      <c r="B556" s="4">
        <f>YEAR(H556)</f>
        <v>2023</v>
      </c>
      <c r="C556" s="4">
        <f>MONTH(H556)</f>
        <v>6</v>
      </c>
      <c r="D556" s="4">
        <f>DAY(H556)</f>
        <v>4</v>
      </c>
      <c r="E556" s="4" t="str">
        <f>TEXT(H556,"dddd")</f>
        <v>Sunday</v>
      </c>
      <c r="F556" s="4" t="str">
        <f t="shared" si="9"/>
        <v>June</v>
      </c>
      <c r="G556" s="4"/>
      <c r="H556" s="3">
        <v>45081</v>
      </c>
      <c r="I556" s="4" t="s">
        <v>590</v>
      </c>
      <c r="J556" s="4" t="s">
        <v>29</v>
      </c>
      <c r="K556" s="4">
        <v>40</v>
      </c>
      <c r="L556" s="4" t="str" cm="1">
        <f t="array" ref="L556">_xlfn.IFS(K556&gt;=50, "Senior", K556&gt;=30, "Adult", K556&lt;30, "Young Adult")</f>
        <v>Adult</v>
      </c>
      <c r="M556" s="4" t="s">
        <v>10</v>
      </c>
      <c r="N556" s="4">
        <v>1</v>
      </c>
      <c r="O556" s="5">
        <v>50</v>
      </c>
      <c r="P556">
        <f>N556*O556</f>
        <v>50</v>
      </c>
      <c r="Q556">
        <f>(P556*$U$4)</f>
        <v>0.75</v>
      </c>
    </row>
    <row r="557" spans="1:17">
      <c r="A557" s="2">
        <v>557</v>
      </c>
      <c r="B557" s="4">
        <f>YEAR(H557)</f>
        <v>2023</v>
      </c>
      <c r="C557" s="4">
        <f>MONTH(H557)</f>
        <v>7</v>
      </c>
      <c r="D557" s="4">
        <f>DAY(H557)</f>
        <v>27</v>
      </c>
      <c r="E557" s="4" t="str">
        <f>TEXT(H557,"dddd")</f>
        <v>Thursday</v>
      </c>
      <c r="F557" s="4" t="str">
        <f t="shared" si="9"/>
        <v>July</v>
      </c>
      <c r="G557" s="4"/>
      <c r="H557" s="3">
        <v>45134</v>
      </c>
      <c r="I557" s="4" t="s">
        <v>591</v>
      </c>
      <c r="J557" s="4" t="s">
        <v>29</v>
      </c>
      <c r="K557" s="4">
        <v>40</v>
      </c>
      <c r="L557" s="4" t="str" cm="1">
        <f t="array" ref="L557">_xlfn.IFS(K557&gt;=50, "Senior", K557&gt;=30, "Adult", K557&lt;30, "Young Adult")</f>
        <v>Adult</v>
      </c>
      <c r="M557" s="4" t="s">
        <v>3</v>
      </c>
      <c r="N557" s="4">
        <v>3</v>
      </c>
      <c r="O557" s="5">
        <v>30</v>
      </c>
      <c r="P557">
        <f>N557*O557</f>
        <v>90</v>
      </c>
      <c r="Q557">
        <f>(P557*$U$4)</f>
        <v>1.3499999999999999</v>
      </c>
    </row>
    <row r="558" spans="1:17">
      <c r="A558" s="2">
        <v>558</v>
      </c>
      <c r="B558" s="4">
        <f>YEAR(H558)</f>
        <v>2023</v>
      </c>
      <c r="C558" s="4">
        <f>MONTH(H558)</f>
        <v>10</v>
      </c>
      <c r="D558" s="4">
        <f>DAY(H558)</f>
        <v>8</v>
      </c>
      <c r="E558" s="4" t="str">
        <f>TEXT(H558,"dddd")</f>
        <v>Sunday</v>
      </c>
      <c r="F558" s="4" t="str">
        <f t="shared" si="9"/>
        <v>October</v>
      </c>
      <c r="G558" s="4"/>
      <c r="H558" s="3">
        <v>45207</v>
      </c>
      <c r="I558" s="4" t="s">
        <v>592</v>
      </c>
      <c r="J558" s="4" t="s">
        <v>29</v>
      </c>
      <c r="K558" s="4">
        <v>40</v>
      </c>
      <c r="L558" s="4" t="str" cm="1">
        <f t="array" ref="L558">_xlfn.IFS(K558&gt;=50, "Senior", K558&gt;=30, "Adult", K558&lt;30, "Young Adult")</f>
        <v>Adult</v>
      </c>
      <c r="M558" s="4" t="s">
        <v>8</v>
      </c>
      <c r="N558" s="4">
        <v>1</v>
      </c>
      <c r="O558" s="5">
        <v>25</v>
      </c>
      <c r="P558">
        <f>N558*O558</f>
        <v>25</v>
      </c>
      <c r="Q558">
        <f>(P558*$U$4)</f>
        <v>0.375</v>
      </c>
    </row>
    <row r="559" spans="1:17">
      <c r="A559" s="2">
        <v>559</v>
      </c>
      <c r="B559" s="4">
        <f>YEAR(H559)</f>
        <v>2023</v>
      </c>
      <c r="C559" s="4">
        <f>MONTH(H559)</f>
        <v>1</v>
      </c>
      <c r="D559" s="4">
        <f>DAY(H559)</f>
        <v>1</v>
      </c>
      <c r="E559" s="4" t="str">
        <f>TEXT(H559,"dddd")</f>
        <v>Sunday</v>
      </c>
      <c r="F559" s="4" t="str">
        <f t="shared" si="9"/>
        <v>January</v>
      </c>
      <c r="G559" s="4"/>
      <c r="H559" s="3">
        <v>44927</v>
      </c>
      <c r="I559" s="4" t="s">
        <v>593</v>
      </c>
      <c r="J559" s="4" t="s">
        <v>29</v>
      </c>
      <c r="K559" s="4">
        <v>39</v>
      </c>
      <c r="L559" s="4" t="str" cm="1">
        <f t="array" ref="L559">_xlfn.IFS(K559&gt;=50, "Senior", K559&gt;=30, "Adult", K559&lt;30, "Young Adult")</f>
        <v>Adult</v>
      </c>
      <c r="M559" s="4" t="s">
        <v>8</v>
      </c>
      <c r="N559" s="4">
        <v>4</v>
      </c>
      <c r="O559" s="5">
        <v>300</v>
      </c>
      <c r="P559">
        <f>N559*O559</f>
        <v>1200</v>
      </c>
      <c r="Q559">
        <f>(P559*$U$4)</f>
        <v>18</v>
      </c>
    </row>
    <row r="560" spans="1:17">
      <c r="A560" s="2">
        <v>560</v>
      </c>
      <c r="B560" s="4">
        <f>YEAR(H560)</f>
        <v>2023</v>
      </c>
      <c r="C560" s="4">
        <f>MONTH(H560)</f>
        <v>6</v>
      </c>
      <c r="D560" s="4">
        <f>DAY(H560)</f>
        <v>5</v>
      </c>
      <c r="E560" s="4" t="str">
        <f>TEXT(H560,"dddd")</f>
        <v>Monday</v>
      </c>
      <c r="F560" s="4" t="str">
        <f t="shared" si="9"/>
        <v>June</v>
      </c>
      <c r="G560" s="4"/>
      <c r="H560" s="3">
        <v>45082</v>
      </c>
      <c r="I560" s="4" t="s">
        <v>594</v>
      </c>
      <c r="J560" s="4" t="s">
        <v>29</v>
      </c>
      <c r="K560" s="4">
        <v>39</v>
      </c>
      <c r="L560" s="4" t="str" cm="1">
        <f t="array" ref="L560">_xlfn.IFS(K560&gt;=50, "Senior", K560&gt;=30, "Adult", K560&lt;30, "Young Adult")</f>
        <v>Adult</v>
      </c>
      <c r="M560" s="4" t="s">
        <v>10</v>
      </c>
      <c r="N560" s="4">
        <v>1</v>
      </c>
      <c r="O560" s="5">
        <v>50</v>
      </c>
      <c r="P560">
        <f>N560*O560</f>
        <v>50</v>
      </c>
      <c r="Q560">
        <f>(P560*$U$4)</f>
        <v>0.75</v>
      </c>
    </row>
    <row r="561" spans="1:17">
      <c r="A561" s="2">
        <v>561</v>
      </c>
      <c r="B561" s="4">
        <f>YEAR(H561)</f>
        <v>2023</v>
      </c>
      <c r="C561" s="4">
        <f>MONTH(H561)</f>
        <v>5</v>
      </c>
      <c r="D561" s="4">
        <f>DAY(H561)</f>
        <v>27</v>
      </c>
      <c r="E561" s="4" t="str">
        <f>TEXT(H561,"dddd")</f>
        <v>Saturday</v>
      </c>
      <c r="F561" s="4" t="str">
        <f t="shared" si="9"/>
        <v>May</v>
      </c>
      <c r="G561" s="4"/>
      <c r="H561" s="3">
        <v>45073</v>
      </c>
      <c r="I561" s="4" t="s">
        <v>595</v>
      </c>
      <c r="J561" s="4" t="s">
        <v>29</v>
      </c>
      <c r="K561" s="4">
        <v>39</v>
      </c>
      <c r="L561" s="4" t="str" cm="1">
        <f t="array" ref="L561">_xlfn.IFS(K561&gt;=50, "Senior", K561&gt;=30, "Adult", K561&lt;30, "Young Adult")</f>
        <v>Adult</v>
      </c>
      <c r="M561" s="4" t="s">
        <v>8</v>
      </c>
      <c r="N561" s="4">
        <v>4</v>
      </c>
      <c r="O561" s="5">
        <v>500</v>
      </c>
      <c r="P561">
        <f>N561*O561</f>
        <v>2000</v>
      </c>
      <c r="Q561">
        <f>(P561*$U$4)</f>
        <v>30</v>
      </c>
    </row>
    <row r="562" spans="1:17">
      <c r="A562" s="2">
        <v>562</v>
      </c>
      <c r="B562" s="4">
        <f>YEAR(H562)</f>
        <v>2023</v>
      </c>
      <c r="C562" s="4">
        <f>MONTH(H562)</f>
        <v>4</v>
      </c>
      <c r="D562" s="4">
        <f>DAY(H562)</f>
        <v>18</v>
      </c>
      <c r="E562" s="4" t="str">
        <f>TEXT(H562,"dddd")</f>
        <v>Tuesday</v>
      </c>
      <c r="F562" s="4" t="str">
        <f t="shared" si="9"/>
        <v>April</v>
      </c>
      <c r="G562" s="4"/>
      <c r="H562" s="3">
        <v>45034</v>
      </c>
      <c r="I562" s="4" t="s">
        <v>596</v>
      </c>
      <c r="J562" s="4" t="s">
        <v>27</v>
      </c>
      <c r="K562" s="4">
        <v>39</v>
      </c>
      <c r="L562" s="4" t="str" cm="1">
        <f t="array" ref="L562">_xlfn.IFS(K562&gt;=50, "Senior", K562&gt;=30, "Adult", K562&lt;30, "Young Adult")</f>
        <v>Adult</v>
      </c>
      <c r="M562" s="4" t="s">
        <v>10</v>
      </c>
      <c r="N562" s="4">
        <v>2</v>
      </c>
      <c r="O562" s="5">
        <v>25</v>
      </c>
      <c r="P562">
        <f>N562*O562</f>
        <v>50</v>
      </c>
      <c r="Q562">
        <f>(P562*$U$4)</f>
        <v>0.75</v>
      </c>
    </row>
    <row r="563" spans="1:17">
      <c r="A563" s="2">
        <v>563</v>
      </c>
      <c r="B563" s="4">
        <f>YEAR(H563)</f>
        <v>2023</v>
      </c>
      <c r="C563" s="4">
        <f>MONTH(H563)</f>
        <v>8</v>
      </c>
      <c r="D563" s="4">
        <f>DAY(H563)</f>
        <v>9</v>
      </c>
      <c r="E563" s="4" t="str">
        <f>TEXT(H563,"dddd")</f>
        <v>Wednesday</v>
      </c>
      <c r="F563" s="4" t="str">
        <f t="shared" si="9"/>
        <v>August</v>
      </c>
      <c r="G563" s="4"/>
      <c r="H563" s="3">
        <v>45147</v>
      </c>
      <c r="I563" s="4" t="s">
        <v>597</v>
      </c>
      <c r="J563" s="4" t="s">
        <v>27</v>
      </c>
      <c r="K563" s="4">
        <v>39</v>
      </c>
      <c r="L563" s="4" t="str" cm="1">
        <f t="array" ref="L563">_xlfn.IFS(K563&gt;=50, "Senior", K563&gt;=30, "Adult", K563&lt;30, "Young Adult")</f>
        <v>Adult</v>
      </c>
      <c r="M563" s="4" t="s">
        <v>8</v>
      </c>
      <c r="N563" s="4">
        <v>2</v>
      </c>
      <c r="O563" s="5">
        <v>30</v>
      </c>
      <c r="P563">
        <f>N563*O563</f>
        <v>60</v>
      </c>
      <c r="Q563">
        <f>(P563*$U$4)</f>
        <v>0.89999999999999991</v>
      </c>
    </row>
    <row r="564" spans="1:17">
      <c r="A564" s="2">
        <v>564</v>
      </c>
      <c r="B564" s="4">
        <f>YEAR(H564)</f>
        <v>2023</v>
      </c>
      <c r="C564" s="4">
        <f>MONTH(H564)</f>
        <v>10</v>
      </c>
      <c r="D564" s="4">
        <f>DAY(H564)</f>
        <v>24</v>
      </c>
      <c r="E564" s="4" t="str">
        <f>TEXT(H564,"dddd")</f>
        <v>Tuesday</v>
      </c>
      <c r="F564" s="4" t="str">
        <f t="shared" si="9"/>
        <v>October</v>
      </c>
      <c r="G564" s="4"/>
      <c r="H564" s="3">
        <v>45223</v>
      </c>
      <c r="I564" s="4" t="s">
        <v>598</v>
      </c>
      <c r="J564" s="4" t="s">
        <v>27</v>
      </c>
      <c r="K564" s="4">
        <v>39</v>
      </c>
      <c r="L564" s="4" t="str" cm="1">
        <f t="array" ref="L564">_xlfn.IFS(K564&gt;=50, "Senior", K564&gt;=30, "Adult", K564&lt;30, "Young Adult")</f>
        <v>Adult</v>
      </c>
      <c r="M564" s="4" t="s">
        <v>10</v>
      </c>
      <c r="N564" s="4">
        <v>2</v>
      </c>
      <c r="O564" s="5">
        <v>50</v>
      </c>
      <c r="P564">
        <f>N564*O564</f>
        <v>100</v>
      </c>
      <c r="Q564">
        <f>(P564*$U$4)</f>
        <v>1.5</v>
      </c>
    </row>
    <row r="565" spans="1:17">
      <c r="A565" s="2">
        <v>565</v>
      </c>
      <c r="B565" s="4">
        <f>YEAR(H565)</f>
        <v>2023</v>
      </c>
      <c r="C565" s="4">
        <f>MONTH(H565)</f>
        <v>11</v>
      </c>
      <c r="D565" s="4">
        <f>DAY(H565)</f>
        <v>7</v>
      </c>
      <c r="E565" s="4" t="str">
        <f>TEXT(H565,"dddd")</f>
        <v>Tuesday</v>
      </c>
      <c r="F565" s="4" t="str">
        <f t="shared" si="9"/>
        <v>November</v>
      </c>
      <c r="G565" s="4"/>
      <c r="H565" s="3">
        <v>45237</v>
      </c>
      <c r="I565" s="4" t="s">
        <v>599</v>
      </c>
      <c r="J565" s="4" t="s">
        <v>29</v>
      </c>
      <c r="K565" s="4">
        <v>39</v>
      </c>
      <c r="L565" s="4" t="str" cm="1">
        <f t="array" ref="L565">_xlfn.IFS(K565&gt;=50, "Senior", K565&gt;=30, "Adult", K565&lt;30, "Young Adult")</f>
        <v>Adult</v>
      </c>
      <c r="M565" s="4" t="s">
        <v>3</v>
      </c>
      <c r="N565" s="4">
        <v>2</v>
      </c>
      <c r="O565" s="5">
        <v>30</v>
      </c>
      <c r="P565">
        <f>N565*O565</f>
        <v>60</v>
      </c>
      <c r="Q565">
        <f>(P565*$U$4)</f>
        <v>0.89999999999999991</v>
      </c>
    </row>
    <row r="566" spans="1:17">
      <c r="A566" s="2">
        <v>566</v>
      </c>
      <c r="B566" s="4">
        <f>YEAR(H566)</f>
        <v>2023</v>
      </c>
      <c r="C566" s="4">
        <f>MONTH(H566)</f>
        <v>12</v>
      </c>
      <c r="D566" s="4">
        <f>DAY(H566)</f>
        <v>2</v>
      </c>
      <c r="E566" s="4" t="str">
        <f>TEXT(H566,"dddd")</f>
        <v>Saturday</v>
      </c>
      <c r="F566" s="4" t="str">
        <f t="shared" si="9"/>
        <v>December</v>
      </c>
      <c r="G566" s="4"/>
      <c r="H566" s="3">
        <v>45262</v>
      </c>
      <c r="I566" s="4" t="s">
        <v>600</v>
      </c>
      <c r="J566" s="4" t="s">
        <v>29</v>
      </c>
      <c r="K566" s="4">
        <v>39</v>
      </c>
      <c r="L566" s="4" t="str" cm="1">
        <f t="array" ref="L566">_xlfn.IFS(K566&gt;=50, "Senior", K566&gt;=30, "Adult", K566&lt;30, "Young Adult")</f>
        <v>Adult</v>
      </c>
      <c r="M566" s="4" t="s">
        <v>8</v>
      </c>
      <c r="N566" s="4">
        <v>1</v>
      </c>
      <c r="O566" s="5">
        <v>30</v>
      </c>
      <c r="P566">
        <f>N566*O566</f>
        <v>30</v>
      </c>
      <c r="Q566">
        <f>(P566*$U$4)</f>
        <v>0.44999999999999996</v>
      </c>
    </row>
    <row r="567" spans="1:17">
      <c r="A567" s="2">
        <v>567</v>
      </c>
      <c r="B567" s="4">
        <f>YEAR(H567)</f>
        <v>2023</v>
      </c>
      <c r="C567" s="4">
        <f>MONTH(H567)</f>
        <v>6</v>
      </c>
      <c r="D567" s="4">
        <f>DAY(H567)</f>
        <v>14</v>
      </c>
      <c r="E567" s="4" t="str">
        <f>TEXT(H567,"dddd")</f>
        <v>Wednesday</v>
      </c>
      <c r="F567" s="4" t="str">
        <f t="shared" si="9"/>
        <v>June</v>
      </c>
      <c r="G567" s="4"/>
      <c r="H567" s="3">
        <v>45091</v>
      </c>
      <c r="I567" s="4" t="s">
        <v>601</v>
      </c>
      <c r="J567" s="4" t="s">
        <v>29</v>
      </c>
      <c r="K567" s="4">
        <v>39</v>
      </c>
      <c r="L567" s="4" t="str" cm="1">
        <f t="array" ref="L567">_xlfn.IFS(K567&gt;=50, "Senior", K567&gt;=30, "Adult", K567&lt;30, "Young Adult")</f>
        <v>Adult</v>
      </c>
      <c r="M567" s="4" t="s">
        <v>8</v>
      </c>
      <c r="N567" s="4">
        <v>3</v>
      </c>
      <c r="O567" s="5">
        <v>300</v>
      </c>
      <c r="P567">
        <f>N567*O567</f>
        <v>900</v>
      </c>
      <c r="Q567">
        <f>(P567*$U$4)</f>
        <v>13.5</v>
      </c>
    </row>
    <row r="568" spans="1:17">
      <c r="A568" s="2">
        <v>568</v>
      </c>
      <c r="B568" s="4">
        <f>YEAR(H568)</f>
        <v>2023</v>
      </c>
      <c r="C568" s="4">
        <f>MONTH(H568)</f>
        <v>8</v>
      </c>
      <c r="D568" s="4">
        <f>DAY(H568)</f>
        <v>27</v>
      </c>
      <c r="E568" s="4" t="str">
        <f>TEXT(H568,"dddd")</f>
        <v>Sunday</v>
      </c>
      <c r="F568" s="4" t="str">
        <f t="shared" si="9"/>
        <v>August</v>
      </c>
      <c r="G568" s="4"/>
      <c r="H568" s="3">
        <v>45165</v>
      </c>
      <c r="I568" s="4" t="s">
        <v>602</v>
      </c>
      <c r="J568" s="4" t="s">
        <v>29</v>
      </c>
      <c r="K568" s="4">
        <v>39</v>
      </c>
      <c r="L568" s="4" t="str" cm="1">
        <f t="array" ref="L568">_xlfn.IFS(K568&gt;=50, "Senior", K568&gt;=30, "Adult", K568&lt;30, "Young Adult")</f>
        <v>Adult</v>
      </c>
      <c r="M568" s="4" t="s">
        <v>10</v>
      </c>
      <c r="N568" s="4">
        <v>1</v>
      </c>
      <c r="O568" s="5">
        <v>300</v>
      </c>
      <c r="P568">
        <f>N568*O568</f>
        <v>300</v>
      </c>
      <c r="Q568">
        <f>(P568*$U$4)</f>
        <v>4.5</v>
      </c>
    </row>
    <row r="569" spans="1:17">
      <c r="A569" s="2">
        <v>569</v>
      </c>
      <c r="B569" s="4">
        <f>YEAR(H569)</f>
        <v>2023</v>
      </c>
      <c r="C569" s="4">
        <f>MONTH(H569)</f>
        <v>8</v>
      </c>
      <c r="D569" s="4">
        <f>DAY(H569)</f>
        <v>15</v>
      </c>
      <c r="E569" s="4" t="str">
        <f>TEXT(H569,"dddd")</f>
        <v>Tuesday</v>
      </c>
      <c r="F569" s="4" t="str">
        <f t="shared" si="9"/>
        <v>August</v>
      </c>
      <c r="G569" s="4"/>
      <c r="H569" s="3">
        <v>45153</v>
      </c>
      <c r="I569" s="4" t="s">
        <v>603</v>
      </c>
      <c r="J569" s="4" t="s">
        <v>27</v>
      </c>
      <c r="K569" s="4">
        <v>39</v>
      </c>
      <c r="L569" s="4" t="str" cm="1">
        <f t="array" ref="L569">_xlfn.IFS(K569&gt;=50, "Senior", K569&gt;=30, "Adult", K569&lt;30, "Young Adult")</f>
        <v>Adult</v>
      </c>
      <c r="M569" s="4" t="s">
        <v>10</v>
      </c>
      <c r="N569" s="4">
        <v>4</v>
      </c>
      <c r="O569" s="5">
        <v>50</v>
      </c>
      <c r="P569">
        <f>N569*O569</f>
        <v>200</v>
      </c>
      <c r="Q569">
        <f>(P569*$U$4)</f>
        <v>3</v>
      </c>
    </row>
    <row r="570" spans="1:17">
      <c r="A570" s="2">
        <v>570</v>
      </c>
      <c r="B570" s="4">
        <f>YEAR(H570)</f>
        <v>2023</v>
      </c>
      <c r="C570" s="4">
        <f>MONTH(H570)</f>
        <v>8</v>
      </c>
      <c r="D570" s="4">
        <f>DAY(H570)</f>
        <v>15</v>
      </c>
      <c r="E570" s="4" t="str">
        <f>TEXT(H570,"dddd")</f>
        <v>Tuesday</v>
      </c>
      <c r="F570" s="4" t="str">
        <f t="shared" si="9"/>
        <v>August</v>
      </c>
      <c r="G570" s="4"/>
      <c r="H570" s="3">
        <v>45153</v>
      </c>
      <c r="I570" s="4" t="s">
        <v>604</v>
      </c>
      <c r="J570" s="4" t="s">
        <v>27</v>
      </c>
      <c r="K570" s="4">
        <v>39</v>
      </c>
      <c r="L570" s="4" t="str" cm="1">
        <f t="array" ref="L570">_xlfn.IFS(K570&gt;=50, "Senior", K570&gt;=30, "Adult", K570&lt;30, "Young Adult")</f>
        <v>Adult</v>
      </c>
      <c r="M570" s="4" t="s">
        <v>8</v>
      </c>
      <c r="N570" s="4">
        <v>1</v>
      </c>
      <c r="O570" s="5">
        <v>500</v>
      </c>
      <c r="P570">
        <f>N570*O570</f>
        <v>500</v>
      </c>
      <c r="Q570">
        <f>(P570*$U$4)</f>
        <v>7.5</v>
      </c>
    </row>
    <row r="571" spans="1:17">
      <c r="A571" s="2">
        <v>571</v>
      </c>
      <c r="B571" s="4">
        <f>YEAR(H571)</f>
        <v>2023</v>
      </c>
      <c r="C571" s="4">
        <f>MONTH(H571)</f>
        <v>12</v>
      </c>
      <c r="D571" s="4">
        <f>DAY(H571)</f>
        <v>12</v>
      </c>
      <c r="E571" s="4" t="str">
        <f>TEXT(H571,"dddd")</f>
        <v>Tuesday</v>
      </c>
      <c r="F571" s="4" t="str">
        <f t="shared" si="9"/>
        <v>December</v>
      </c>
      <c r="G571" s="4"/>
      <c r="H571" s="3">
        <v>45272</v>
      </c>
      <c r="I571" s="4" t="s">
        <v>605</v>
      </c>
      <c r="J571" s="4" t="s">
        <v>29</v>
      </c>
      <c r="K571" s="4">
        <v>39</v>
      </c>
      <c r="L571" s="4" t="str" cm="1">
        <f t="array" ref="L571">_xlfn.IFS(K571&gt;=50, "Senior", K571&gt;=30, "Adult", K571&lt;30, "Young Adult")</f>
        <v>Adult</v>
      </c>
      <c r="M571" s="4" t="s">
        <v>10</v>
      </c>
      <c r="N571" s="4">
        <v>1</v>
      </c>
      <c r="O571" s="5">
        <v>50</v>
      </c>
      <c r="P571">
        <f>N571*O571</f>
        <v>50</v>
      </c>
      <c r="Q571">
        <f>(P571*$U$4)</f>
        <v>0.75</v>
      </c>
    </row>
    <row r="572" spans="1:17">
      <c r="A572" s="2">
        <v>572</v>
      </c>
      <c r="B572" s="4">
        <f>YEAR(H572)</f>
        <v>2023</v>
      </c>
      <c r="C572" s="4">
        <f>MONTH(H572)</f>
        <v>4</v>
      </c>
      <c r="D572" s="4">
        <f>DAY(H572)</f>
        <v>20</v>
      </c>
      <c r="E572" s="4" t="str">
        <f>TEXT(H572,"dddd")</f>
        <v>Thursday</v>
      </c>
      <c r="F572" s="4" t="str">
        <f t="shared" si="9"/>
        <v>April</v>
      </c>
      <c r="G572" s="4"/>
      <c r="H572" s="3">
        <v>45036</v>
      </c>
      <c r="I572" s="4" t="s">
        <v>606</v>
      </c>
      <c r="J572" s="4" t="s">
        <v>27</v>
      </c>
      <c r="K572" s="4">
        <v>39</v>
      </c>
      <c r="L572" s="4" t="str" cm="1">
        <f t="array" ref="L572">_xlfn.IFS(K572&gt;=50, "Senior", K572&gt;=30, "Adult", K572&lt;30, "Young Adult")</f>
        <v>Adult</v>
      </c>
      <c r="M572" s="4" t="s">
        <v>8</v>
      </c>
      <c r="N572" s="4">
        <v>4</v>
      </c>
      <c r="O572" s="5">
        <v>500</v>
      </c>
      <c r="P572">
        <f>N572*O572</f>
        <v>2000</v>
      </c>
      <c r="Q572">
        <f>(P572*$U$4)</f>
        <v>30</v>
      </c>
    </row>
    <row r="573" spans="1:17">
      <c r="A573" s="2">
        <v>573</v>
      </c>
      <c r="B573" s="4">
        <f>YEAR(H573)</f>
        <v>2023</v>
      </c>
      <c r="C573" s="4">
        <f>MONTH(H573)</f>
        <v>9</v>
      </c>
      <c r="D573" s="4">
        <f>DAY(H573)</f>
        <v>19</v>
      </c>
      <c r="E573" s="4" t="str">
        <f>TEXT(H573,"dddd")</f>
        <v>Tuesday</v>
      </c>
      <c r="F573" s="4" t="str">
        <f t="shared" si="9"/>
        <v>September</v>
      </c>
      <c r="G573" s="4"/>
      <c r="H573" s="3">
        <v>45188</v>
      </c>
      <c r="I573" s="4" t="s">
        <v>607</v>
      </c>
      <c r="J573" s="4" t="s">
        <v>27</v>
      </c>
      <c r="K573" s="4">
        <v>39</v>
      </c>
      <c r="L573" s="4" t="str" cm="1">
        <f t="array" ref="L573">_xlfn.IFS(K573&gt;=50, "Senior", K573&gt;=30, "Adult", K573&lt;30, "Young Adult")</f>
        <v>Adult</v>
      </c>
      <c r="M573" s="4" t="s">
        <v>3</v>
      </c>
      <c r="N573" s="4">
        <v>2</v>
      </c>
      <c r="O573" s="5">
        <v>30</v>
      </c>
      <c r="P573">
        <f>N573*O573</f>
        <v>60</v>
      </c>
      <c r="Q573">
        <f>(P573*$U$4)</f>
        <v>0.89999999999999991</v>
      </c>
    </row>
    <row r="574" spans="1:17">
      <c r="A574" s="2">
        <v>574</v>
      </c>
      <c r="B574" s="4">
        <f>YEAR(H574)</f>
        <v>2023</v>
      </c>
      <c r="C574" s="4">
        <f>MONTH(H574)</f>
        <v>8</v>
      </c>
      <c r="D574" s="4">
        <f>DAY(H574)</f>
        <v>31</v>
      </c>
      <c r="E574" s="4" t="str">
        <f>TEXT(H574,"dddd")</f>
        <v>Thursday</v>
      </c>
      <c r="F574" s="4" t="str">
        <f t="shared" si="9"/>
        <v>August</v>
      </c>
      <c r="G574" s="4"/>
      <c r="H574" s="3">
        <v>45169</v>
      </c>
      <c r="I574" s="4" t="s">
        <v>608</v>
      </c>
      <c r="J574" s="4" t="s">
        <v>29</v>
      </c>
      <c r="K574" s="4">
        <v>39</v>
      </c>
      <c r="L574" s="4" t="str" cm="1">
        <f t="array" ref="L574">_xlfn.IFS(K574&gt;=50, "Senior", K574&gt;=30, "Adult", K574&lt;30, "Young Adult")</f>
        <v>Adult</v>
      </c>
      <c r="M574" s="4" t="s">
        <v>10</v>
      </c>
      <c r="N574" s="4">
        <v>2</v>
      </c>
      <c r="O574" s="5">
        <v>25</v>
      </c>
      <c r="P574">
        <f>N574*O574</f>
        <v>50</v>
      </c>
      <c r="Q574">
        <f>(P574*$U$4)</f>
        <v>0.75</v>
      </c>
    </row>
    <row r="575" spans="1:17">
      <c r="A575" s="2">
        <v>575</v>
      </c>
      <c r="B575" s="4">
        <f>YEAR(H575)</f>
        <v>2023</v>
      </c>
      <c r="C575" s="4">
        <f>MONTH(H575)</f>
        <v>3</v>
      </c>
      <c r="D575" s="4">
        <f>DAY(H575)</f>
        <v>28</v>
      </c>
      <c r="E575" s="4" t="str">
        <f>TEXT(H575,"dddd")</f>
        <v>Tuesday</v>
      </c>
      <c r="F575" s="4" t="str">
        <f t="shared" si="9"/>
        <v>March</v>
      </c>
      <c r="G575" s="4"/>
      <c r="H575" s="3">
        <v>45013</v>
      </c>
      <c r="I575" s="4" t="s">
        <v>609</v>
      </c>
      <c r="J575" s="4" t="s">
        <v>27</v>
      </c>
      <c r="K575" s="4">
        <v>39</v>
      </c>
      <c r="L575" s="4" t="str" cm="1">
        <f t="array" ref="L575">_xlfn.IFS(K575&gt;=50, "Senior", K575&gt;=30, "Adult", K575&lt;30, "Young Adult")</f>
        <v>Adult</v>
      </c>
      <c r="M575" s="4" t="s">
        <v>8</v>
      </c>
      <c r="N575" s="4">
        <v>2</v>
      </c>
      <c r="O575" s="5">
        <v>50</v>
      </c>
      <c r="P575">
        <f>N575*O575</f>
        <v>100</v>
      </c>
      <c r="Q575">
        <f>(P575*$U$4)</f>
        <v>1.5</v>
      </c>
    </row>
    <row r="576" spans="1:17">
      <c r="A576" s="2">
        <v>576</v>
      </c>
      <c r="B576" s="4">
        <f>YEAR(H576)</f>
        <v>2023</v>
      </c>
      <c r="C576" s="4">
        <f>MONTH(H576)</f>
        <v>12</v>
      </c>
      <c r="D576" s="4">
        <f>DAY(H576)</f>
        <v>4</v>
      </c>
      <c r="E576" s="4" t="str">
        <f>TEXT(H576,"dddd")</f>
        <v>Monday</v>
      </c>
      <c r="F576" s="4" t="str">
        <f t="shared" si="9"/>
        <v>December</v>
      </c>
      <c r="G576" s="4"/>
      <c r="H576" s="3">
        <v>45264</v>
      </c>
      <c r="I576" s="4" t="s">
        <v>610</v>
      </c>
      <c r="J576" s="4" t="s">
        <v>29</v>
      </c>
      <c r="K576" s="4">
        <v>39</v>
      </c>
      <c r="L576" s="4" t="str" cm="1">
        <f t="array" ref="L576">_xlfn.IFS(K576&gt;=50, "Senior", K576&gt;=30, "Adult", K576&lt;30, "Young Adult")</f>
        <v>Adult</v>
      </c>
      <c r="M576" s="4" t="s">
        <v>3</v>
      </c>
      <c r="N576" s="4">
        <v>3</v>
      </c>
      <c r="O576" s="5">
        <v>50</v>
      </c>
      <c r="P576">
        <f>N576*O576</f>
        <v>150</v>
      </c>
      <c r="Q576">
        <f>(P576*$U$4)</f>
        <v>2.25</v>
      </c>
    </row>
    <row r="577" spans="1:17">
      <c r="A577" s="2">
        <v>577</v>
      </c>
      <c r="B577" s="4">
        <f>YEAR(H577)</f>
        <v>2023</v>
      </c>
      <c r="C577" s="4">
        <f>MONTH(H577)</f>
        <v>2</v>
      </c>
      <c r="D577" s="4">
        <f>DAY(H577)</f>
        <v>13</v>
      </c>
      <c r="E577" s="4" t="str">
        <f>TEXT(H577,"dddd")</f>
        <v>Monday</v>
      </c>
      <c r="F577" s="4" t="str">
        <f t="shared" si="9"/>
        <v>February</v>
      </c>
      <c r="G577" s="4"/>
      <c r="H577" s="3">
        <v>44970</v>
      </c>
      <c r="I577" s="4" t="s">
        <v>611</v>
      </c>
      <c r="J577" s="4" t="s">
        <v>27</v>
      </c>
      <c r="K577" s="4">
        <v>38</v>
      </c>
      <c r="L577" s="4" t="str" cm="1">
        <f t="array" ref="L577">_xlfn.IFS(K577&gt;=50, "Senior", K577&gt;=30, "Adult", K577&lt;30, "Young Adult")</f>
        <v>Adult</v>
      </c>
      <c r="M577" s="4" t="s">
        <v>3</v>
      </c>
      <c r="N577" s="4">
        <v>4</v>
      </c>
      <c r="O577" s="5">
        <v>500</v>
      </c>
      <c r="P577">
        <f>N577*O577</f>
        <v>2000</v>
      </c>
      <c r="Q577">
        <f>(P577*$U$4)</f>
        <v>30</v>
      </c>
    </row>
    <row r="578" spans="1:17">
      <c r="A578" s="2">
        <v>578</v>
      </c>
      <c r="B578" s="4">
        <f>YEAR(H578)</f>
        <v>2023</v>
      </c>
      <c r="C578" s="4">
        <f>MONTH(H578)</f>
        <v>5</v>
      </c>
      <c r="D578" s="4">
        <f>DAY(H578)</f>
        <v>26</v>
      </c>
      <c r="E578" s="4" t="str">
        <f>TEXT(H578,"dddd")</f>
        <v>Friday</v>
      </c>
      <c r="F578" s="4" t="str">
        <f t="shared" si="9"/>
        <v>May</v>
      </c>
      <c r="G578" s="4"/>
      <c r="H578" s="3">
        <v>45072</v>
      </c>
      <c r="I578" s="4" t="s">
        <v>612</v>
      </c>
      <c r="J578" s="4" t="s">
        <v>29</v>
      </c>
      <c r="K578" s="4">
        <v>38</v>
      </c>
      <c r="L578" s="4" t="str" cm="1">
        <f t="array" ref="L578">_xlfn.IFS(K578&gt;=50, "Senior", K578&gt;=30, "Adult", K578&lt;30, "Young Adult")</f>
        <v>Adult</v>
      </c>
      <c r="M578" s="4" t="s">
        <v>8</v>
      </c>
      <c r="N578" s="4">
        <v>4</v>
      </c>
      <c r="O578" s="5">
        <v>30</v>
      </c>
      <c r="P578">
        <f>N578*O578</f>
        <v>120</v>
      </c>
      <c r="Q578">
        <f>(P578*$U$4)</f>
        <v>1.7999999999999998</v>
      </c>
    </row>
    <row r="579" spans="1:17">
      <c r="A579" s="2">
        <v>579</v>
      </c>
      <c r="B579" s="4">
        <f>YEAR(H579)</f>
        <v>2023</v>
      </c>
      <c r="C579" s="4">
        <f>MONTH(H579)</f>
        <v>9</v>
      </c>
      <c r="D579" s="4">
        <f>DAY(H579)</f>
        <v>21</v>
      </c>
      <c r="E579" s="4" t="str">
        <f>TEXT(H579,"dddd")</f>
        <v>Thursday</v>
      </c>
      <c r="F579" s="4" t="str">
        <f t="shared" ref="F579:F642" si="10">TEXT(H579,"mmmm")</f>
        <v>September</v>
      </c>
      <c r="G579" s="4"/>
      <c r="H579" s="3">
        <v>45190</v>
      </c>
      <c r="I579" s="4" t="s">
        <v>613</v>
      </c>
      <c r="J579" s="4" t="s">
        <v>29</v>
      </c>
      <c r="K579" s="4">
        <v>38</v>
      </c>
      <c r="L579" s="4" t="str" cm="1">
        <f t="array" ref="L579">_xlfn.IFS(K579&gt;=50, "Senior", K579&gt;=30, "Adult", K579&lt;30, "Young Adult")</f>
        <v>Adult</v>
      </c>
      <c r="M579" s="4" t="s">
        <v>10</v>
      </c>
      <c r="N579" s="4">
        <v>1</v>
      </c>
      <c r="O579" s="5">
        <v>30</v>
      </c>
      <c r="P579">
        <f>N579*O579</f>
        <v>30</v>
      </c>
      <c r="Q579">
        <f>(P579*$U$4)</f>
        <v>0.44999999999999996</v>
      </c>
    </row>
    <row r="580" spans="1:17">
      <c r="A580" s="2">
        <v>580</v>
      </c>
      <c r="B580" s="4">
        <f>YEAR(H580)</f>
        <v>2023</v>
      </c>
      <c r="C580" s="4">
        <f>MONTH(H580)</f>
        <v>12</v>
      </c>
      <c r="D580" s="4">
        <f>DAY(H580)</f>
        <v>6</v>
      </c>
      <c r="E580" s="4" t="str">
        <f>TEXT(H580,"dddd")</f>
        <v>Wednesday</v>
      </c>
      <c r="F580" s="4" t="str">
        <f t="shared" si="10"/>
        <v>December</v>
      </c>
      <c r="G580" s="4"/>
      <c r="H580" s="3">
        <v>45266</v>
      </c>
      <c r="I580" s="4" t="s">
        <v>614</v>
      </c>
      <c r="J580" s="4" t="s">
        <v>29</v>
      </c>
      <c r="K580" s="4">
        <v>38</v>
      </c>
      <c r="L580" s="4" t="str" cm="1">
        <f t="array" ref="L580">_xlfn.IFS(K580&gt;=50, "Senior", K580&gt;=30, "Adult", K580&lt;30, "Young Adult")</f>
        <v>Adult</v>
      </c>
      <c r="M580" s="4" t="s">
        <v>8</v>
      </c>
      <c r="N580" s="4">
        <v>3</v>
      </c>
      <c r="O580" s="5">
        <v>500</v>
      </c>
      <c r="P580">
        <f>N580*O580</f>
        <v>1500</v>
      </c>
      <c r="Q580">
        <f>(P580*$U$4)</f>
        <v>22.5</v>
      </c>
    </row>
    <row r="581" spans="1:17">
      <c r="A581" s="2">
        <v>581</v>
      </c>
      <c r="B581" s="4">
        <f>YEAR(H581)</f>
        <v>2023</v>
      </c>
      <c r="C581" s="4">
        <f>MONTH(H581)</f>
        <v>11</v>
      </c>
      <c r="D581" s="4">
        <f>DAY(H581)</f>
        <v>21</v>
      </c>
      <c r="E581" s="4" t="str">
        <f>TEXT(H581,"dddd")</f>
        <v>Tuesday</v>
      </c>
      <c r="F581" s="4" t="str">
        <f t="shared" si="10"/>
        <v>November</v>
      </c>
      <c r="G581" s="4"/>
      <c r="H581" s="3">
        <v>45251</v>
      </c>
      <c r="I581" s="4" t="s">
        <v>615</v>
      </c>
      <c r="J581" s="4" t="s">
        <v>29</v>
      </c>
      <c r="K581" s="4">
        <v>38</v>
      </c>
      <c r="L581" s="4" t="str" cm="1">
        <f t="array" ref="L581">_xlfn.IFS(K581&gt;=50, "Senior", K581&gt;=30, "Adult", K581&lt;30, "Young Adult")</f>
        <v>Adult</v>
      </c>
      <c r="M581" s="4" t="s">
        <v>3</v>
      </c>
      <c r="N581" s="4">
        <v>2</v>
      </c>
      <c r="O581" s="5">
        <v>30</v>
      </c>
      <c r="P581">
        <f>N581*O581</f>
        <v>60</v>
      </c>
      <c r="Q581">
        <f>(P581*$U$4)</f>
        <v>0.89999999999999991</v>
      </c>
    </row>
    <row r="582" spans="1:17">
      <c r="A582" s="2">
        <v>582</v>
      </c>
      <c r="B582" s="4">
        <f>YEAR(H582)</f>
        <v>2023</v>
      </c>
      <c r="C582" s="4">
        <f>MONTH(H582)</f>
        <v>11</v>
      </c>
      <c r="D582" s="4">
        <f>DAY(H582)</f>
        <v>14</v>
      </c>
      <c r="E582" s="4" t="str">
        <f>TEXT(H582,"dddd")</f>
        <v>Tuesday</v>
      </c>
      <c r="F582" s="4" t="str">
        <f t="shared" si="10"/>
        <v>November</v>
      </c>
      <c r="G582" s="4"/>
      <c r="H582" s="3">
        <v>45244</v>
      </c>
      <c r="I582" s="4" t="s">
        <v>616</v>
      </c>
      <c r="J582" s="4" t="s">
        <v>27</v>
      </c>
      <c r="K582" s="4">
        <v>38</v>
      </c>
      <c r="L582" s="4" t="str" cm="1">
        <f t="array" ref="L582">_xlfn.IFS(K582&gt;=50, "Senior", K582&gt;=30, "Adult", K582&lt;30, "Young Adult")</f>
        <v>Adult</v>
      </c>
      <c r="M582" s="4" t="s">
        <v>8</v>
      </c>
      <c r="N582" s="4">
        <v>3</v>
      </c>
      <c r="O582" s="5">
        <v>300</v>
      </c>
      <c r="P582">
        <f>N582*O582</f>
        <v>900</v>
      </c>
      <c r="Q582">
        <f>(P582*$U$4)</f>
        <v>13.5</v>
      </c>
    </row>
    <row r="583" spans="1:17">
      <c r="A583" s="2">
        <v>583</v>
      </c>
      <c r="B583" s="4">
        <f>YEAR(H583)</f>
        <v>2023</v>
      </c>
      <c r="C583" s="4">
        <f>MONTH(H583)</f>
        <v>6</v>
      </c>
      <c r="D583" s="4">
        <f>DAY(H583)</f>
        <v>21</v>
      </c>
      <c r="E583" s="4" t="str">
        <f>TEXT(H583,"dddd")</f>
        <v>Wednesday</v>
      </c>
      <c r="F583" s="4" t="str">
        <f t="shared" si="10"/>
        <v>June</v>
      </c>
      <c r="G583" s="4"/>
      <c r="H583" s="3">
        <v>45098</v>
      </c>
      <c r="I583" s="4" t="s">
        <v>617</v>
      </c>
      <c r="J583" s="4" t="s">
        <v>29</v>
      </c>
      <c r="K583" s="4">
        <v>38</v>
      </c>
      <c r="L583" s="4" t="str" cm="1">
        <f t="array" ref="L583">_xlfn.IFS(K583&gt;=50, "Senior", K583&gt;=30, "Adult", K583&lt;30, "Young Adult")</f>
        <v>Adult</v>
      </c>
      <c r="M583" s="4" t="s">
        <v>10</v>
      </c>
      <c r="N583" s="4">
        <v>4</v>
      </c>
      <c r="O583" s="5">
        <v>25</v>
      </c>
      <c r="P583">
        <f>N583*O583</f>
        <v>100</v>
      </c>
      <c r="Q583">
        <f>(P583*$U$4)</f>
        <v>1.5</v>
      </c>
    </row>
    <row r="584" spans="1:17">
      <c r="A584" s="2">
        <v>584</v>
      </c>
      <c r="B584" s="4">
        <f>YEAR(H584)</f>
        <v>2023</v>
      </c>
      <c r="C584" s="4">
        <f>MONTH(H584)</f>
        <v>2</v>
      </c>
      <c r="D584" s="4">
        <f>DAY(H584)</f>
        <v>17</v>
      </c>
      <c r="E584" s="4" t="str">
        <f>TEXT(H584,"dddd")</f>
        <v>Friday</v>
      </c>
      <c r="F584" s="4" t="str">
        <f t="shared" si="10"/>
        <v>February</v>
      </c>
      <c r="G584" s="4"/>
      <c r="H584" s="3">
        <v>44974</v>
      </c>
      <c r="I584" s="4" t="s">
        <v>618</v>
      </c>
      <c r="J584" s="4" t="s">
        <v>29</v>
      </c>
      <c r="K584" s="4">
        <v>38</v>
      </c>
      <c r="L584" s="4" t="str" cm="1">
        <f t="array" ref="L584">_xlfn.IFS(K584&gt;=50, "Senior", K584&gt;=30, "Adult", K584&lt;30, "Young Adult")</f>
        <v>Adult</v>
      </c>
      <c r="M584" s="4" t="s">
        <v>3</v>
      </c>
      <c r="N584" s="4">
        <v>4</v>
      </c>
      <c r="O584" s="5">
        <v>50</v>
      </c>
      <c r="P584">
        <f>N584*O584</f>
        <v>200</v>
      </c>
      <c r="Q584">
        <f>(P584*$U$4)</f>
        <v>3</v>
      </c>
    </row>
    <row r="585" spans="1:17">
      <c r="A585" s="2">
        <v>585</v>
      </c>
      <c r="B585" s="4">
        <f>YEAR(H585)</f>
        <v>2023</v>
      </c>
      <c r="C585" s="4">
        <f>MONTH(H585)</f>
        <v>5</v>
      </c>
      <c r="D585" s="4">
        <f>DAY(H585)</f>
        <v>1</v>
      </c>
      <c r="E585" s="4" t="str">
        <f>TEXT(H585,"dddd")</f>
        <v>Monday</v>
      </c>
      <c r="F585" s="4" t="str">
        <f t="shared" si="10"/>
        <v>May</v>
      </c>
      <c r="G585" s="4"/>
      <c r="H585" s="3">
        <v>45047</v>
      </c>
      <c r="I585" s="4" t="s">
        <v>619</v>
      </c>
      <c r="J585" s="4" t="s">
        <v>29</v>
      </c>
      <c r="K585" s="4">
        <v>38</v>
      </c>
      <c r="L585" s="4" t="str" cm="1">
        <f t="array" ref="L585">_xlfn.IFS(K585&gt;=50, "Senior", K585&gt;=30, "Adult", K585&lt;30, "Young Adult")</f>
        <v>Adult</v>
      </c>
      <c r="M585" s="4" t="s">
        <v>8</v>
      </c>
      <c r="N585" s="4">
        <v>1</v>
      </c>
      <c r="O585" s="5">
        <v>25</v>
      </c>
      <c r="P585">
        <f>N585*O585</f>
        <v>25</v>
      </c>
      <c r="Q585">
        <f>(P585*$U$4)</f>
        <v>0.375</v>
      </c>
    </row>
    <row r="586" spans="1:17">
      <c r="A586" s="2">
        <v>586</v>
      </c>
      <c r="B586" s="4">
        <f>YEAR(H586)</f>
        <v>2023</v>
      </c>
      <c r="C586" s="4">
        <f>MONTH(H586)</f>
        <v>12</v>
      </c>
      <c r="D586" s="4">
        <f>DAY(H586)</f>
        <v>11</v>
      </c>
      <c r="E586" s="4" t="str">
        <f>TEXT(H586,"dddd")</f>
        <v>Monday</v>
      </c>
      <c r="F586" s="4" t="str">
        <f t="shared" si="10"/>
        <v>December</v>
      </c>
      <c r="G586" s="4"/>
      <c r="H586" s="3">
        <v>45271</v>
      </c>
      <c r="I586" s="4" t="s">
        <v>620</v>
      </c>
      <c r="J586" s="4" t="s">
        <v>27</v>
      </c>
      <c r="K586" s="4">
        <v>38</v>
      </c>
      <c r="L586" s="4" t="str" cm="1">
        <f t="array" ref="L586">_xlfn.IFS(K586&gt;=50, "Senior", K586&gt;=30, "Adult", K586&lt;30, "Young Adult")</f>
        <v>Adult</v>
      </c>
      <c r="M586" s="4" t="s">
        <v>10</v>
      </c>
      <c r="N586" s="4">
        <v>1</v>
      </c>
      <c r="O586" s="5">
        <v>50</v>
      </c>
      <c r="P586">
        <f>N586*O586</f>
        <v>50</v>
      </c>
      <c r="Q586">
        <f>(P586*$U$4)</f>
        <v>0.75</v>
      </c>
    </row>
    <row r="587" spans="1:17">
      <c r="A587" s="2">
        <v>587</v>
      </c>
      <c r="B587" s="4">
        <f>YEAR(H587)</f>
        <v>2023</v>
      </c>
      <c r="C587" s="4">
        <f>MONTH(H587)</f>
        <v>6</v>
      </c>
      <c r="D587" s="4">
        <f>DAY(H587)</f>
        <v>8</v>
      </c>
      <c r="E587" s="4" t="str">
        <f>TEXT(H587,"dddd")</f>
        <v>Thursday</v>
      </c>
      <c r="F587" s="4" t="str">
        <f t="shared" si="10"/>
        <v>June</v>
      </c>
      <c r="G587" s="4"/>
      <c r="H587" s="3">
        <v>45085</v>
      </c>
      <c r="I587" s="4" t="s">
        <v>621</v>
      </c>
      <c r="J587" s="4" t="s">
        <v>29</v>
      </c>
      <c r="K587" s="4">
        <v>38</v>
      </c>
      <c r="L587" s="4" t="str" cm="1">
        <f t="array" ref="L587">_xlfn.IFS(K587&gt;=50, "Senior", K587&gt;=30, "Adult", K587&lt;30, "Young Adult")</f>
        <v>Adult</v>
      </c>
      <c r="M587" s="4" t="s">
        <v>3</v>
      </c>
      <c r="N587" s="4">
        <v>4</v>
      </c>
      <c r="O587" s="5">
        <v>300</v>
      </c>
      <c r="P587">
        <f>N587*O587</f>
        <v>1200</v>
      </c>
      <c r="Q587">
        <f>(P587*$U$4)</f>
        <v>18</v>
      </c>
    </row>
    <row r="588" spans="1:17">
      <c r="A588" s="2">
        <v>588</v>
      </c>
      <c r="B588" s="4">
        <f>YEAR(H588)</f>
        <v>2023</v>
      </c>
      <c r="C588" s="4">
        <f>MONTH(H588)</f>
        <v>4</v>
      </c>
      <c r="D588" s="4">
        <f>DAY(H588)</f>
        <v>26</v>
      </c>
      <c r="E588" s="4" t="str">
        <f>TEXT(H588,"dddd")</f>
        <v>Wednesday</v>
      </c>
      <c r="F588" s="4" t="str">
        <f t="shared" si="10"/>
        <v>April</v>
      </c>
      <c r="G588" s="4"/>
      <c r="H588" s="3">
        <v>45042</v>
      </c>
      <c r="I588" s="4" t="s">
        <v>622</v>
      </c>
      <c r="J588" s="4" t="s">
        <v>27</v>
      </c>
      <c r="K588" s="4">
        <v>38</v>
      </c>
      <c r="L588" s="4" t="str" cm="1">
        <f t="array" ref="L588">_xlfn.IFS(K588&gt;=50, "Senior", K588&gt;=30, "Adult", K588&lt;30, "Young Adult")</f>
        <v>Adult</v>
      </c>
      <c r="M588" s="4" t="s">
        <v>10</v>
      </c>
      <c r="N588" s="4">
        <v>2</v>
      </c>
      <c r="O588" s="5">
        <v>30</v>
      </c>
      <c r="P588">
        <f>N588*O588</f>
        <v>60</v>
      </c>
      <c r="Q588">
        <f>(P588*$U$4)</f>
        <v>0.89999999999999991</v>
      </c>
    </row>
    <row r="589" spans="1:17">
      <c r="A589" s="2">
        <v>589</v>
      </c>
      <c r="B589" s="4">
        <f>YEAR(H589)</f>
        <v>2023</v>
      </c>
      <c r="C589" s="4">
        <f>MONTH(H589)</f>
        <v>4</v>
      </c>
      <c r="D589" s="4">
        <f>DAY(H589)</f>
        <v>12</v>
      </c>
      <c r="E589" s="4" t="str">
        <f>TEXT(H589,"dddd")</f>
        <v>Wednesday</v>
      </c>
      <c r="F589" s="4" t="str">
        <f t="shared" si="10"/>
        <v>April</v>
      </c>
      <c r="G589" s="4"/>
      <c r="H589" s="3">
        <v>45028</v>
      </c>
      <c r="I589" s="4" t="s">
        <v>623</v>
      </c>
      <c r="J589" s="4" t="s">
        <v>29</v>
      </c>
      <c r="K589" s="4">
        <v>38</v>
      </c>
      <c r="L589" s="4" t="str" cm="1">
        <f t="array" ref="L589">_xlfn.IFS(K589&gt;=50, "Senior", K589&gt;=30, "Adult", K589&lt;30, "Young Adult")</f>
        <v>Adult</v>
      </c>
      <c r="M589" s="4" t="s">
        <v>3</v>
      </c>
      <c r="N589" s="4">
        <v>2</v>
      </c>
      <c r="O589" s="5">
        <v>500</v>
      </c>
      <c r="P589">
        <f>N589*O589</f>
        <v>1000</v>
      </c>
      <c r="Q589">
        <f>(P589*$U$4)</f>
        <v>15</v>
      </c>
    </row>
    <row r="590" spans="1:17">
      <c r="A590" s="2">
        <v>590</v>
      </c>
      <c r="B590" s="4">
        <f>YEAR(H590)</f>
        <v>2023</v>
      </c>
      <c r="C590" s="4">
        <f>MONTH(H590)</f>
        <v>3</v>
      </c>
      <c r="D590" s="4">
        <f>DAY(H590)</f>
        <v>17</v>
      </c>
      <c r="E590" s="4" t="str">
        <f>TEXT(H590,"dddd")</f>
        <v>Friday</v>
      </c>
      <c r="F590" s="4" t="str">
        <f t="shared" si="10"/>
        <v>March</v>
      </c>
      <c r="G590" s="4"/>
      <c r="H590" s="3">
        <v>45002</v>
      </c>
      <c r="I590" s="4" t="s">
        <v>624</v>
      </c>
      <c r="J590" s="4" t="s">
        <v>27</v>
      </c>
      <c r="K590" s="4">
        <v>38</v>
      </c>
      <c r="L590" s="4" t="str" cm="1">
        <f t="array" ref="L590">_xlfn.IFS(K590&gt;=50, "Senior", K590&gt;=30, "Adult", K590&lt;30, "Young Adult")</f>
        <v>Adult</v>
      </c>
      <c r="M590" s="4" t="s">
        <v>8</v>
      </c>
      <c r="N590" s="4">
        <v>3</v>
      </c>
      <c r="O590" s="5">
        <v>300</v>
      </c>
      <c r="P590">
        <f>N590*O590</f>
        <v>900</v>
      </c>
      <c r="Q590">
        <f>(P590*$U$4)</f>
        <v>13.5</v>
      </c>
    </row>
    <row r="591" spans="1:17">
      <c r="A591" s="2">
        <v>591</v>
      </c>
      <c r="B591" s="4">
        <f>YEAR(H591)</f>
        <v>2023</v>
      </c>
      <c r="C591" s="4">
        <f>MONTH(H591)</f>
        <v>1</v>
      </c>
      <c r="D591" s="4">
        <f>DAY(H591)</f>
        <v>13</v>
      </c>
      <c r="E591" s="4" t="str">
        <f>TEXT(H591,"dddd")</f>
        <v>Friday</v>
      </c>
      <c r="F591" s="4" t="str">
        <f t="shared" si="10"/>
        <v>January</v>
      </c>
      <c r="G591" s="4"/>
      <c r="H591" s="3">
        <v>44939</v>
      </c>
      <c r="I591" s="4" t="s">
        <v>625</v>
      </c>
      <c r="J591" s="4" t="s">
        <v>27</v>
      </c>
      <c r="K591" s="4">
        <v>38</v>
      </c>
      <c r="L591" s="4" t="str" cm="1">
        <f t="array" ref="L591">_xlfn.IFS(K591&gt;=50, "Senior", K591&gt;=30, "Adult", K591&lt;30, "Young Adult")</f>
        <v>Adult</v>
      </c>
      <c r="M591" s="4" t="s">
        <v>10</v>
      </c>
      <c r="N591" s="4">
        <v>4</v>
      </c>
      <c r="O591" s="5">
        <v>25</v>
      </c>
      <c r="P591">
        <f>N591*O591</f>
        <v>100</v>
      </c>
      <c r="Q591">
        <f>(P591*$U$4)</f>
        <v>1.5</v>
      </c>
    </row>
    <row r="592" spans="1:17">
      <c r="A592" s="2">
        <v>592</v>
      </c>
      <c r="B592" s="4">
        <f>YEAR(H592)</f>
        <v>2023</v>
      </c>
      <c r="C592" s="4">
        <f>MONTH(H592)</f>
        <v>1</v>
      </c>
      <c r="D592" s="4">
        <f>DAY(H592)</f>
        <v>24</v>
      </c>
      <c r="E592" s="4" t="str">
        <f>TEXT(H592,"dddd")</f>
        <v>Tuesday</v>
      </c>
      <c r="F592" s="4" t="str">
        <f t="shared" si="10"/>
        <v>January</v>
      </c>
      <c r="G592" s="4"/>
      <c r="H592" s="3">
        <v>44950</v>
      </c>
      <c r="I592" s="4" t="s">
        <v>626</v>
      </c>
      <c r="J592" s="4" t="s">
        <v>29</v>
      </c>
      <c r="K592" s="4">
        <v>38</v>
      </c>
      <c r="L592" s="4" t="str" cm="1">
        <f t="array" ref="L592">_xlfn.IFS(K592&gt;=50, "Senior", K592&gt;=30, "Adult", K592&lt;30, "Young Adult")</f>
        <v>Adult</v>
      </c>
      <c r="M592" s="4" t="s">
        <v>3</v>
      </c>
      <c r="N592" s="4">
        <v>4</v>
      </c>
      <c r="O592" s="5">
        <v>500</v>
      </c>
      <c r="P592">
        <f>N592*O592</f>
        <v>2000</v>
      </c>
      <c r="Q592">
        <f>(P592*$U$4)</f>
        <v>30</v>
      </c>
    </row>
    <row r="593" spans="1:17">
      <c r="A593" s="2">
        <v>593</v>
      </c>
      <c r="B593" s="4">
        <f>YEAR(H593)</f>
        <v>2023</v>
      </c>
      <c r="C593" s="4">
        <f>MONTH(H593)</f>
        <v>5</v>
      </c>
      <c r="D593" s="4">
        <f>DAY(H593)</f>
        <v>6</v>
      </c>
      <c r="E593" s="4" t="str">
        <f>TEXT(H593,"dddd")</f>
        <v>Saturday</v>
      </c>
      <c r="F593" s="4" t="str">
        <f t="shared" si="10"/>
        <v>May</v>
      </c>
      <c r="G593" s="4"/>
      <c r="H593" s="3">
        <v>45052</v>
      </c>
      <c r="I593" s="4" t="s">
        <v>627</v>
      </c>
      <c r="J593" s="4" t="s">
        <v>27</v>
      </c>
      <c r="K593" s="4">
        <v>38</v>
      </c>
      <c r="L593" s="4" t="str" cm="1">
        <f t="array" ref="L593">_xlfn.IFS(K593&gt;=50, "Senior", K593&gt;=30, "Adult", K593&lt;30, "Young Adult")</f>
        <v>Adult</v>
      </c>
      <c r="M593" s="4" t="s">
        <v>10</v>
      </c>
      <c r="N593" s="4">
        <v>2</v>
      </c>
      <c r="O593" s="5">
        <v>30</v>
      </c>
      <c r="P593">
        <f>N593*O593</f>
        <v>60</v>
      </c>
      <c r="Q593">
        <f>(P593*$U$4)</f>
        <v>0.89999999999999991</v>
      </c>
    </row>
    <row r="594" spans="1:17">
      <c r="A594" s="2">
        <v>594</v>
      </c>
      <c r="B594" s="4">
        <f>YEAR(H594)</f>
        <v>2023</v>
      </c>
      <c r="C594" s="4">
        <f>MONTH(H594)</f>
        <v>9</v>
      </c>
      <c r="D594" s="4">
        <f>DAY(H594)</f>
        <v>1</v>
      </c>
      <c r="E594" s="4" t="str">
        <f>TEXT(H594,"dddd")</f>
        <v>Friday</v>
      </c>
      <c r="F594" s="4" t="str">
        <f t="shared" si="10"/>
        <v>September</v>
      </c>
      <c r="G594" s="4"/>
      <c r="H594" s="3">
        <v>45170</v>
      </c>
      <c r="I594" s="4" t="s">
        <v>628</v>
      </c>
      <c r="J594" s="4" t="s">
        <v>29</v>
      </c>
      <c r="K594" s="4">
        <v>38</v>
      </c>
      <c r="L594" s="4" t="str" cm="1">
        <f t="array" ref="L594">_xlfn.IFS(K594&gt;=50, "Senior", K594&gt;=30, "Adult", K594&lt;30, "Young Adult")</f>
        <v>Adult</v>
      </c>
      <c r="M594" s="4" t="s">
        <v>10</v>
      </c>
      <c r="N594" s="4">
        <v>2</v>
      </c>
      <c r="O594" s="5">
        <v>300</v>
      </c>
      <c r="P594">
        <f>N594*O594</f>
        <v>600</v>
      </c>
      <c r="Q594">
        <f>(P594*$U$4)</f>
        <v>9</v>
      </c>
    </row>
    <row r="595" spans="1:17">
      <c r="A595" s="2">
        <v>595</v>
      </c>
      <c r="B595" s="4">
        <f>YEAR(H595)</f>
        <v>2023</v>
      </c>
      <c r="C595" s="4">
        <f>MONTH(H595)</f>
        <v>11</v>
      </c>
      <c r="D595" s="4">
        <f>DAY(H595)</f>
        <v>9</v>
      </c>
      <c r="E595" s="4" t="str">
        <f>TEXT(H595,"dddd")</f>
        <v>Thursday</v>
      </c>
      <c r="F595" s="4" t="str">
        <f t="shared" si="10"/>
        <v>November</v>
      </c>
      <c r="G595" s="4"/>
      <c r="H595" s="3">
        <v>45239</v>
      </c>
      <c r="I595" s="4" t="s">
        <v>629</v>
      </c>
      <c r="J595" s="4" t="s">
        <v>29</v>
      </c>
      <c r="K595" s="4">
        <v>38</v>
      </c>
      <c r="L595" s="4" t="str" cm="1">
        <f t="array" ref="L595">_xlfn.IFS(K595&gt;=50, "Senior", K595&gt;=30, "Adult", K595&lt;30, "Young Adult")</f>
        <v>Adult</v>
      </c>
      <c r="M595" s="4" t="s">
        <v>8</v>
      </c>
      <c r="N595" s="4">
        <v>4</v>
      </c>
      <c r="O595" s="5">
        <v>500</v>
      </c>
      <c r="P595">
        <f>N595*O595</f>
        <v>2000</v>
      </c>
      <c r="Q595">
        <f>(P595*$U$4)</f>
        <v>30</v>
      </c>
    </row>
    <row r="596" spans="1:17">
      <c r="A596" s="2">
        <v>596</v>
      </c>
      <c r="B596" s="4">
        <f>YEAR(H596)</f>
        <v>2023</v>
      </c>
      <c r="C596" s="4">
        <f>MONTH(H596)</f>
        <v>2</v>
      </c>
      <c r="D596" s="4">
        <f>DAY(H596)</f>
        <v>7</v>
      </c>
      <c r="E596" s="4" t="str">
        <f>TEXT(H596,"dddd")</f>
        <v>Tuesday</v>
      </c>
      <c r="F596" s="4" t="str">
        <f t="shared" si="10"/>
        <v>February</v>
      </c>
      <c r="G596" s="4"/>
      <c r="H596" s="3">
        <v>44964</v>
      </c>
      <c r="I596" s="4" t="s">
        <v>630</v>
      </c>
      <c r="J596" s="4" t="s">
        <v>29</v>
      </c>
      <c r="K596" s="4">
        <v>37</v>
      </c>
      <c r="L596" s="4" t="str" cm="1">
        <f t="array" ref="L596">_xlfn.IFS(K596&gt;=50, "Senior", K596&gt;=30, "Adult", K596&lt;30, "Young Adult")</f>
        <v>Adult</v>
      </c>
      <c r="M596" s="4" t="s">
        <v>10</v>
      </c>
      <c r="N596" s="4">
        <v>1</v>
      </c>
      <c r="O596" s="5">
        <v>300</v>
      </c>
      <c r="P596">
        <f>N596*O596</f>
        <v>300</v>
      </c>
      <c r="Q596">
        <f>(P596*$U$4)</f>
        <v>4.5</v>
      </c>
    </row>
    <row r="597" spans="1:17">
      <c r="A597" s="2">
        <v>597</v>
      </c>
      <c r="B597" s="4">
        <f>YEAR(H597)</f>
        <v>2023</v>
      </c>
      <c r="C597" s="4">
        <f>MONTH(H597)</f>
        <v>8</v>
      </c>
      <c r="D597" s="4">
        <f>DAY(H597)</f>
        <v>22</v>
      </c>
      <c r="E597" s="4" t="str">
        <f>TEXT(H597,"dddd")</f>
        <v>Tuesday</v>
      </c>
      <c r="F597" s="4" t="str">
        <f t="shared" si="10"/>
        <v>August</v>
      </c>
      <c r="G597" s="4"/>
      <c r="H597" s="3">
        <v>45160</v>
      </c>
      <c r="I597" s="4" t="s">
        <v>631</v>
      </c>
      <c r="J597" s="4" t="s">
        <v>27</v>
      </c>
      <c r="K597" s="4">
        <v>37</v>
      </c>
      <c r="L597" s="4" t="str" cm="1">
        <f t="array" ref="L597">_xlfn.IFS(K597&gt;=50, "Senior", K597&gt;=30, "Adult", K597&lt;30, "Young Adult")</f>
        <v>Adult</v>
      </c>
      <c r="M597" s="4" t="s">
        <v>3</v>
      </c>
      <c r="N597" s="4">
        <v>4</v>
      </c>
      <c r="O597" s="5">
        <v>300</v>
      </c>
      <c r="P597">
        <f>N597*O597</f>
        <v>1200</v>
      </c>
      <c r="Q597">
        <f>(P597*$U$4)</f>
        <v>18</v>
      </c>
    </row>
    <row r="598" spans="1:17">
      <c r="A598" s="2">
        <v>598</v>
      </c>
      <c r="B598" s="4">
        <f>YEAR(H598)</f>
        <v>2023</v>
      </c>
      <c r="C598" s="4">
        <f>MONTH(H598)</f>
        <v>8</v>
      </c>
      <c r="D598" s="4">
        <f>DAY(H598)</f>
        <v>1</v>
      </c>
      <c r="E598" s="4" t="str">
        <f>TEXT(H598,"dddd")</f>
        <v>Tuesday</v>
      </c>
      <c r="F598" s="4" t="str">
        <f t="shared" si="10"/>
        <v>August</v>
      </c>
      <c r="G598" s="4"/>
      <c r="H598" s="3">
        <v>45139</v>
      </c>
      <c r="I598" s="4" t="s">
        <v>632</v>
      </c>
      <c r="J598" s="4" t="s">
        <v>27</v>
      </c>
      <c r="K598" s="4">
        <v>37</v>
      </c>
      <c r="L598" s="4" t="str" cm="1">
        <f t="array" ref="L598">_xlfn.IFS(K598&gt;=50, "Senior", K598&gt;=30, "Adult", K598&lt;30, "Young Adult")</f>
        <v>Adult</v>
      </c>
      <c r="M598" s="4" t="s">
        <v>3</v>
      </c>
      <c r="N598" s="4">
        <v>4</v>
      </c>
      <c r="O598" s="5">
        <v>30</v>
      </c>
      <c r="P598">
        <f>N598*O598</f>
        <v>120</v>
      </c>
      <c r="Q598">
        <f>(P598*$U$4)</f>
        <v>1.7999999999999998</v>
      </c>
    </row>
    <row r="599" spans="1:17">
      <c r="A599" s="2">
        <v>599</v>
      </c>
      <c r="B599" s="4">
        <f>YEAR(H599)</f>
        <v>2023</v>
      </c>
      <c r="C599" s="4">
        <f>MONTH(H599)</f>
        <v>11</v>
      </c>
      <c r="D599" s="4">
        <f>DAY(H599)</f>
        <v>19</v>
      </c>
      <c r="E599" s="4" t="str">
        <f>TEXT(H599,"dddd")</f>
        <v>Sunday</v>
      </c>
      <c r="F599" s="4" t="str">
        <f t="shared" si="10"/>
        <v>November</v>
      </c>
      <c r="G599" s="4"/>
      <c r="H599" s="3">
        <v>45249</v>
      </c>
      <c r="I599" s="4" t="s">
        <v>633</v>
      </c>
      <c r="J599" s="4" t="s">
        <v>29</v>
      </c>
      <c r="K599" s="4">
        <v>37</v>
      </c>
      <c r="L599" s="4" t="str" cm="1">
        <f t="array" ref="L599">_xlfn.IFS(K599&gt;=50, "Senior", K599&gt;=30, "Adult", K599&lt;30, "Young Adult")</f>
        <v>Adult</v>
      </c>
      <c r="M599" s="4" t="s">
        <v>3</v>
      </c>
      <c r="N599" s="4">
        <v>2</v>
      </c>
      <c r="O599" s="5">
        <v>50</v>
      </c>
      <c r="P599">
        <f>N599*O599</f>
        <v>100</v>
      </c>
      <c r="Q599">
        <f>(P599*$U$4)</f>
        <v>1.5</v>
      </c>
    </row>
    <row r="600" spans="1:17">
      <c r="A600" s="2">
        <v>600</v>
      </c>
      <c r="B600" s="4">
        <f>YEAR(H600)</f>
        <v>2023</v>
      </c>
      <c r="C600" s="4">
        <f>MONTH(H600)</f>
        <v>10</v>
      </c>
      <c r="D600" s="4">
        <f>DAY(H600)</f>
        <v>22</v>
      </c>
      <c r="E600" s="4" t="str">
        <f>TEXT(H600,"dddd")</f>
        <v>Sunday</v>
      </c>
      <c r="F600" s="4" t="str">
        <f t="shared" si="10"/>
        <v>October</v>
      </c>
      <c r="G600" s="4"/>
      <c r="H600" s="3">
        <v>45221</v>
      </c>
      <c r="I600" s="4" t="s">
        <v>634</v>
      </c>
      <c r="J600" s="4" t="s">
        <v>29</v>
      </c>
      <c r="K600" s="4">
        <v>37</v>
      </c>
      <c r="L600" s="4" t="str" cm="1">
        <f t="array" ref="L600">_xlfn.IFS(K600&gt;=50, "Senior", K600&gt;=30, "Adult", K600&lt;30, "Young Adult")</f>
        <v>Adult</v>
      </c>
      <c r="M600" s="4" t="s">
        <v>3</v>
      </c>
      <c r="N600" s="4">
        <v>2</v>
      </c>
      <c r="O600" s="5">
        <v>500</v>
      </c>
      <c r="P600">
        <f>N600*O600</f>
        <v>1000</v>
      </c>
      <c r="Q600">
        <f>(P600*$U$4)</f>
        <v>15</v>
      </c>
    </row>
    <row r="601" spans="1:17">
      <c r="A601" s="2">
        <v>601</v>
      </c>
      <c r="B601" s="4">
        <f>YEAR(H601)</f>
        <v>2023</v>
      </c>
      <c r="C601" s="4">
        <f>MONTH(H601)</f>
        <v>4</v>
      </c>
      <c r="D601" s="4">
        <f>DAY(H601)</f>
        <v>10</v>
      </c>
      <c r="E601" s="4" t="str">
        <f>TEXT(H601,"dddd")</f>
        <v>Monday</v>
      </c>
      <c r="F601" s="4" t="str">
        <f t="shared" si="10"/>
        <v>April</v>
      </c>
      <c r="G601" s="4"/>
      <c r="H601" s="3">
        <v>45026</v>
      </c>
      <c r="I601" s="4" t="s">
        <v>635</v>
      </c>
      <c r="J601" s="4" t="s">
        <v>27</v>
      </c>
      <c r="K601" s="4">
        <v>37</v>
      </c>
      <c r="L601" s="4" t="str" cm="1">
        <f t="array" ref="L601">_xlfn.IFS(K601&gt;=50, "Senior", K601&gt;=30, "Adult", K601&lt;30, "Young Adult")</f>
        <v>Adult</v>
      </c>
      <c r="M601" s="4" t="s">
        <v>8</v>
      </c>
      <c r="N601" s="4">
        <v>1</v>
      </c>
      <c r="O601" s="5">
        <v>30</v>
      </c>
      <c r="P601">
        <f>N601*O601</f>
        <v>30</v>
      </c>
      <c r="Q601">
        <f>(P601*$U$4)</f>
        <v>0.44999999999999996</v>
      </c>
    </row>
    <row r="602" spans="1:17">
      <c r="A602" s="2">
        <v>602</v>
      </c>
      <c r="B602" s="4">
        <f>YEAR(H602)</f>
        <v>2023</v>
      </c>
      <c r="C602" s="4">
        <f>MONTH(H602)</f>
        <v>12</v>
      </c>
      <c r="D602" s="4">
        <f>DAY(H602)</f>
        <v>23</v>
      </c>
      <c r="E602" s="4" t="str">
        <f>TEXT(H602,"dddd")</f>
        <v>Saturday</v>
      </c>
      <c r="F602" s="4" t="str">
        <f t="shared" si="10"/>
        <v>December</v>
      </c>
      <c r="G602" s="4"/>
      <c r="H602" s="3">
        <v>45283</v>
      </c>
      <c r="I602" s="4" t="s">
        <v>636</v>
      </c>
      <c r="J602" s="4" t="s">
        <v>29</v>
      </c>
      <c r="K602" s="4">
        <v>37</v>
      </c>
      <c r="L602" s="4" t="str" cm="1">
        <f t="array" ref="L602">_xlfn.IFS(K602&gt;=50, "Senior", K602&gt;=30, "Adult", K602&lt;30, "Young Adult")</f>
        <v>Adult</v>
      </c>
      <c r="M602" s="4" t="s">
        <v>10</v>
      </c>
      <c r="N602" s="4">
        <v>1</v>
      </c>
      <c r="O602" s="5">
        <v>300</v>
      </c>
      <c r="P602">
        <f>N602*O602</f>
        <v>300</v>
      </c>
      <c r="Q602">
        <f>(P602*$U$4)</f>
        <v>4.5</v>
      </c>
    </row>
    <row r="603" spans="1:17">
      <c r="A603" s="2">
        <v>603</v>
      </c>
      <c r="B603" s="4">
        <f>YEAR(H603)</f>
        <v>2023</v>
      </c>
      <c r="C603" s="4">
        <f>MONTH(H603)</f>
        <v>7</v>
      </c>
      <c r="D603" s="4">
        <f>DAY(H603)</f>
        <v>16</v>
      </c>
      <c r="E603" s="4" t="str">
        <f>TEXT(H603,"dddd")</f>
        <v>Sunday</v>
      </c>
      <c r="F603" s="4" t="str">
        <f t="shared" si="10"/>
        <v>July</v>
      </c>
      <c r="G603" s="4"/>
      <c r="H603" s="3">
        <v>45123</v>
      </c>
      <c r="I603" s="4" t="s">
        <v>637</v>
      </c>
      <c r="J603" s="4" t="s">
        <v>29</v>
      </c>
      <c r="K603" s="4">
        <v>37</v>
      </c>
      <c r="L603" s="4" t="str" cm="1">
        <f t="array" ref="L603">_xlfn.IFS(K603&gt;=50, "Senior", K603&gt;=30, "Adult", K603&lt;30, "Young Adult")</f>
        <v>Adult</v>
      </c>
      <c r="M603" s="4" t="s">
        <v>8</v>
      </c>
      <c r="N603" s="4">
        <v>3</v>
      </c>
      <c r="O603" s="5">
        <v>30</v>
      </c>
      <c r="P603">
        <f>N603*O603</f>
        <v>90</v>
      </c>
      <c r="Q603">
        <f>(P603*$U$4)</f>
        <v>1.3499999999999999</v>
      </c>
    </row>
    <row r="604" spans="1:17">
      <c r="A604" s="2">
        <v>604</v>
      </c>
      <c r="B604" s="4">
        <f>YEAR(H604)</f>
        <v>2023</v>
      </c>
      <c r="C604" s="4">
        <f>MONTH(H604)</f>
        <v>9</v>
      </c>
      <c r="D604" s="4">
        <f>DAY(H604)</f>
        <v>11</v>
      </c>
      <c r="E604" s="4" t="str">
        <f>TEXT(H604,"dddd")</f>
        <v>Monday</v>
      </c>
      <c r="F604" s="4" t="str">
        <f t="shared" si="10"/>
        <v>September</v>
      </c>
      <c r="G604" s="4"/>
      <c r="H604" s="3">
        <v>45180</v>
      </c>
      <c r="I604" s="4" t="s">
        <v>638</v>
      </c>
      <c r="J604" s="4" t="s">
        <v>29</v>
      </c>
      <c r="K604" s="4">
        <v>37</v>
      </c>
      <c r="L604" s="4" t="str" cm="1">
        <f t="array" ref="L604">_xlfn.IFS(K604&gt;=50, "Senior", K604&gt;=30, "Adult", K604&lt;30, "Young Adult")</f>
        <v>Adult</v>
      </c>
      <c r="M604" s="4" t="s">
        <v>10</v>
      </c>
      <c r="N604" s="4">
        <v>4</v>
      </c>
      <c r="O604" s="5">
        <v>50</v>
      </c>
      <c r="P604">
        <f>N604*O604</f>
        <v>200</v>
      </c>
      <c r="Q604">
        <f>(P604*$U$4)</f>
        <v>3</v>
      </c>
    </row>
    <row r="605" spans="1:17">
      <c r="A605" s="2">
        <v>605</v>
      </c>
      <c r="B605" s="4">
        <f>YEAR(H605)</f>
        <v>2023</v>
      </c>
      <c r="C605" s="4">
        <f>MONTH(H605)</f>
        <v>7</v>
      </c>
      <c r="D605" s="4">
        <f>DAY(H605)</f>
        <v>24</v>
      </c>
      <c r="E605" s="4" t="str">
        <f>TEXT(H605,"dddd")</f>
        <v>Monday</v>
      </c>
      <c r="F605" s="4" t="str">
        <f t="shared" si="10"/>
        <v>July</v>
      </c>
      <c r="G605" s="4"/>
      <c r="H605" s="3">
        <v>45131</v>
      </c>
      <c r="I605" s="4" t="s">
        <v>639</v>
      </c>
      <c r="J605" s="4" t="s">
        <v>27</v>
      </c>
      <c r="K605" s="4">
        <v>37</v>
      </c>
      <c r="L605" s="4" t="str" cm="1">
        <f t="array" ref="L605">_xlfn.IFS(K605&gt;=50, "Senior", K605&gt;=30, "Adult", K605&lt;30, "Young Adult")</f>
        <v>Adult</v>
      </c>
      <c r="M605" s="4" t="s">
        <v>10</v>
      </c>
      <c r="N605" s="4">
        <v>2</v>
      </c>
      <c r="O605" s="5">
        <v>500</v>
      </c>
      <c r="P605">
        <f>N605*O605</f>
        <v>1000</v>
      </c>
      <c r="Q605">
        <f>(P605*$U$4)</f>
        <v>15</v>
      </c>
    </row>
    <row r="606" spans="1:17">
      <c r="A606" s="2">
        <v>606</v>
      </c>
      <c r="B606" s="4">
        <f>YEAR(H606)</f>
        <v>2023</v>
      </c>
      <c r="C606" s="4">
        <f>MONTH(H606)</f>
        <v>5</v>
      </c>
      <c r="D606" s="4">
        <f>DAY(H606)</f>
        <v>5</v>
      </c>
      <c r="E606" s="4" t="str">
        <f>TEXT(H606,"dddd")</f>
        <v>Friday</v>
      </c>
      <c r="F606" s="4" t="str">
        <f t="shared" si="10"/>
        <v>May</v>
      </c>
      <c r="G606" s="4"/>
      <c r="H606" s="3">
        <v>45051</v>
      </c>
      <c r="I606" s="4" t="s">
        <v>640</v>
      </c>
      <c r="J606" s="4" t="s">
        <v>27</v>
      </c>
      <c r="K606" s="4">
        <v>37</v>
      </c>
      <c r="L606" s="4" t="str" cm="1">
        <f t="array" ref="L606">_xlfn.IFS(K606&gt;=50, "Senior", K606&gt;=30, "Adult", K606&lt;30, "Young Adult")</f>
        <v>Adult</v>
      </c>
      <c r="M606" s="4" t="s">
        <v>10</v>
      </c>
      <c r="N606" s="4">
        <v>1</v>
      </c>
      <c r="O606" s="5">
        <v>50</v>
      </c>
      <c r="P606">
        <f>N606*O606</f>
        <v>50</v>
      </c>
      <c r="Q606">
        <f>(P606*$U$4)</f>
        <v>0.75</v>
      </c>
    </row>
    <row r="607" spans="1:17">
      <c r="A607" s="2">
        <v>607</v>
      </c>
      <c r="B607" s="4">
        <f>YEAR(H607)</f>
        <v>2023</v>
      </c>
      <c r="C607" s="4">
        <f>MONTH(H607)</f>
        <v>3</v>
      </c>
      <c r="D607" s="4">
        <f>DAY(H607)</f>
        <v>17</v>
      </c>
      <c r="E607" s="4" t="str">
        <f>TEXT(H607,"dddd")</f>
        <v>Friday</v>
      </c>
      <c r="F607" s="4" t="str">
        <f t="shared" si="10"/>
        <v>March</v>
      </c>
      <c r="G607" s="4"/>
      <c r="H607" s="3">
        <v>45002</v>
      </c>
      <c r="I607" s="4" t="s">
        <v>641</v>
      </c>
      <c r="J607" s="4" t="s">
        <v>27</v>
      </c>
      <c r="K607" s="4">
        <v>37</v>
      </c>
      <c r="L607" s="4" t="str" cm="1">
        <f t="array" ref="L607">_xlfn.IFS(K607&gt;=50, "Senior", K607&gt;=30, "Adult", K607&lt;30, "Young Adult")</f>
        <v>Adult</v>
      </c>
      <c r="M607" s="4" t="s">
        <v>8</v>
      </c>
      <c r="N607" s="4">
        <v>3</v>
      </c>
      <c r="O607" s="5">
        <v>25</v>
      </c>
      <c r="P607">
        <f>N607*O607</f>
        <v>75</v>
      </c>
      <c r="Q607">
        <f>(P607*$U$4)</f>
        <v>1.125</v>
      </c>
    </row>
    <row r="608" spans="1:17">
      <c r="A608" s="2">
        <v>608</v>
      </c>
      <c r="B608" s="4">
        <f>YEAR(H608)</f>
        <v>2023</v>
      </c>
      <c r="C608" s="4">
        <f>MONTH(H608)</f>
        <v>12</v>
      </c>
      <c r="D608" s="4">
        <f>DAY(H608)</f>
        <v>2</v>
      </c>
      <c r="E608" s="4" t="str">
        <f>TEXT(H608,"dddd")</f>
        <v>Saturday</v>
      </c>
      <c r="F608" s="4" t="str">
        <f t="shared" si="10"/>
        <v>December</v>
      </c>
      <c r="G608" s="4"/>
      <c r="H608" s="3">
        <v>45262</v>
      </c>
      <c r="I608" s="4" t="s">
        <v>642</v>
      </c>
      <c r="J608" s="4" t="s">
        <v>29</v>
      </c>
      <c r="K608" s="4">
        <v>37</v>
      </c>
      <c r="L608" s="4" t="str" cm="1">
        <f t="array" ref="L608">_xlfn.IFS(K608&gt;=50, "Senior", K608&gt;=30, "Adult", K608&lt;30, "Young Adult")</f>
        <v>Adult</v>
      </c>
      <c r="M608" s="4" t="s">
        <v>10</v>
      </c>
      <c r="N608" s="4">
        <v>3</v>
      </c>
      <c r="O608" s="5">
        <v>500</v>
      </c>
      <c r="P608">
        <f>N608*O608</f>
        <v>1500</v>
      </c>
      <c r="Q608">
        <f>(P608*$U$4)</f>
        <v>22.5</v>
      </c>
    </row>
    <row r="609" spans="1:17">
      <c r="A609" s="2">
        <v>609</v>
      </c>
      <c r="B609" s="4">
        <f>YEAR(H609)</f>
        <v>2023</v>
      </c>
      <c r="C609" s="4">
        <f>MONTH(H609)</f>
        <v>12</v>
      </c>
      <c r="D609" s="4">
        <f>DAY(H609)</f>
        <v>19</v>
      </c>
      <c r="E609" s="4" t="str">
        <f>TEXT(H609,"dddd")</f>
        <v>Tuesday</v>
      </c>
      <c r="F609" s="4" t="str">
        <f t="shared" si="10"/>
        <v>December</v>
      </c>
      <c r="G609" s="4"/>
      <c r="H609" s="3">
        <v>45279</v>
      </c>
      <c r="I609" s="4" t="s">
        <v>643</v>
      </c>
      <c r="J609" s="4" t="s">
        <v>29</v>
      </c>
      <c r="K609" s="4">
        <v>37</v>
      </c>
      <c r="L609" s="4" t="str" cm="1">
        <f t="array" ref="L609">_xlfn.IFS(K609&gt;=50, "Senior", K609&gt;=30, "Adult", K609&lt;30, "Young Adult")</f>
        <v>Adult</v>
      </c>
      <c r="M609" s="4" t="s">
        <v>8</v>
      </c>
      <c r="N609" s="4">
        <v>2</v>
      </c>
      <c r="O609" s="5">
        <v>50</v>
      </c>
      <c r="P609">
        <f>N609*O609</f>
        <v>100</v>
      </c>
      <c r="Q609">
        <f>(P609*$U$4)</f>
        <v>1.5</v>
      </c>
    </row>
    <row r="610" spans="1:17">
      <c r="A610" s="2">
        <v>610</v>
      </c>
      <c r="B610" s="4">
        <f>YEAR(H610)</f>
        <v>2023</v>
      </c>
      <c r="C610" s="4">
        <f>MONTH(H610)</f>
        <v>1</v>
      </c>
      <c r="D610" s="4">
        <f>DAY(H610)</f>
        <v>3</v>
      </c>
      <c r="E610" s="4" t="str">
        <f>TEXT(H610,"dddd")</f>
        <v>Tuesday</v>
      </c>
      <c r="F610" s="4" t="str">
        <f t="shared" si="10"/>
        <v>January</v>
      </c>
      <c r="G610" s="4"/>
      <c r="H610" s="3">
        <v>44929</v>
      </c>
      <c r="I610" s="4" t="s">
        <v>644</v>
      </c>
      <c r="J610" s="4" t="s">
        <v>29</v>
      </c>
      <c r="K610" s="4">
        <v>37</v>
      </c>
      <c r="L610" s="4" t="str" cm="1">
        <f t="array" ref="L610">_xlfn.IFS(K610&gt;=50, "Senior", K610&gt;=30, "Adult", K610&lt;30, "Young Adult")</f>
        <v>Adult</v>
      </c>
      <c r="M610" s="4" t="s">
        <v>3</v>
      </c>
      <c r="N610" s="4">
        <v>2</v>
      </c>
      <c r="O610" s="5">
        <v>300</v>
      </c>
      <c r="P610">
        <f>N610*O610</f>
        <v>600</v>
      </c>
      <c r="Q610">
        <f>(P610*$U$4)</f>
        <v>9</v>
      </c>
    </row>
    <row r="611" spans="1:17">
      <c r="A611" s="2">
        <v>611</v>
      </c>
      <c r="B611" s="4">
        <f>YEAR(H611)</f>
        <v>2023</v>
      </c>
      <c r="C611" s="4">
        <f>MONTH(H611)</f>
        <v>2</v>
      </c>
      <c r="D611" s="4">
        <f>DAY(H611)</f>
        <v>24</v>
      </c>
      <c r="E611" s="4" t="str">
        <f>TEXT(H611,"dddd")</f>
        <v>Friday</v>
      </c>
      <c r="F611" s="4" t="str">
        <f t="shared" si="10"/>
        <v>February</v>
      </c>
      <c r="G611" s="4"/>
      <c r="H611" s="3">
        <v>44981</v>
      </c>
      <c r="I611" s="4" t="s">
        <v>645</v>
      </c>
      <c r="J611" s="4" t="s">
        <v>27</v>
      </c>
      <c r="K611" s="4">
        <v>37</v>
      </c>
      <c r="L611" s="4" t="str" cm="1">
        <f t="array" ref="L611">_xlfn.IFS(K611&gt;=50, "Senior", K611&gt;=30, "Adult", K611&lt;30, "Young Adult")</f>
        <v>Adult</v>
      </c>
      <c r="M611" s="4" t="s">
        <v>3</v>
      </c>
      <c r="N611" s="4">
        <v>3</v>
      </c>
      <c r="O611" s="5">
        <v>500</v>
      </c>
      <c r="P611">
        <f>N611*O611</f>
        <v>1500</v>
      </c>
      <c r="Q611">
        <f>(P611*$U$4)</f>
        <v>22.5</v>
      </c>
    </row>
    <row r="612" spans="1:17">
      <c r="A612" s="2">
        <v>612</v>
      </c>
      <c r="B612" s="4">
        <f>YEAR(H612)</f>
        <v>2023</v>
      </c>
      <c r="C612" s="4">
        <f>MONTH(H612)</f>
        <v>8</v>
      </c>
      <c r="D612" s="4">
        <f>DAY(H612)</f>
        <v>6</v>
      </c>
      <c r="E612" s="4" t="str">
        <f>TEXT(H612,"dddd")</f>
        <v>Sunday</v>
      </c>
      <c r="F612" s="4" t="str">
        <f t="shared" si="10"/>
        <v>August</v>
      </c>
      <c r="G612" s="4"/>
      <c r="H612" s="3">
        <v>45144</v>
      </c>
      <c r="I612" s="4" t="s">
        <v>646</v>
      </c>
      <c r="J612" s="4" t="s">
        <v>29</v>
      </c>
      <c r="K612" s="4">
        <v>36</v>
      </c>
      <c r="L612" s="4" t="str" cm="1">
        <f t="array" ref="L612">_xlfn.IFS(K612&gt;=50, "Senior", K612&gt;=30, "Adult", K612&lt;30, "Young Adult")</f>
        <v>Adult</v>
      </c>
      <c r="M612" s="4" t="s">
        <v>10</v>
      </c>
      <c r="N612" s="4">
        <v>1</v>
      </c>
      <c r="O612" s="5">
        <v>500</v>
      </c>
      <c r="P612">
        <f>N612*O612</f>
        <v>500</v>
      </c>
      <c r="Q612">
        <f>(P612*$U$4)</f>
        <v>7.5</v>
      </c>
    </row>
    <row r="613" spans="1:17">
      <c r="A613" s="2">
        <v>613</v>
      </c>
      <c r="B613" s="4">
        <f>YEAR(H613)</f>
        <v>2023</v>
      </c>
      <c r="C613" s="4">
        <f>MONTH(H613)</f>
        <v>4</v>
      </c>
      <c r="D613" s="4">
        <f>DAY(H613)</f>
        <v>23</v>
      </c>
      <c r="E613" s="4" t="str">
        <f>TEXT(H613,"dddd")</f>
        <v>Sunday</v>
      </c>
      <c r="F613" s="4" t="str">
        <f t="shared" si="10"/>
        <v>April</v>
      </c>
      <c r="G613" s="4"/>
      <c r="H613" s="3">
        <v>45039</v>
      </c>
      <c r="I613" s="4" t="s">
        <v>647</v>
      </c>
      <c r="J613" s="4" t="s">
        <v>29</v>
      </c>
      <c r="K613" s="4">
        <v>36</v>
      </c>
      <c r="L613" s="4" t="str" cm="1">
        <f t="array" ref="L613">_xlfn.IFS(K613&gt;=50, "Senior", K613&gt;=30, "Adult", K613&lt;30, "Young Adult")</f>
        <v>Adult</v>
      </c>
      <c r="M613" s="4" t="s">
        <v>8</v>
      </c>
      <c r="N613" s="4">
        <v>3</v>
      </c>
      <c r="O613" s="5">
        <v>30</v>
      </c>
      <c r="P613">
        <f>N613*O613</f>
        <v>90</v>
      </c>
      <c r="Q613">
        <f>(P613*$U$4)</f>
        <v>1.3499999999999999</v>
      </c>
    </row>
    <row r="614" spans="1:17">
      <c r="A614" s="2">
        <v>614</v>
      </c>
      <c r="B614" s="4">
        <f>YEAR(H614)</f>
        <v>2023</v>
      </c>
      <c r="C614" s="4">
        <f>MONTH(H614)</f>
        <v>4</v>
      </c>
      <c r="D614" s="4">
        <f>DAY(H614)</f>
        <v>1</v>
      </c>
      <c r="E614" s="4" t="str">
        <f>TEXT(H614,"dddd")</f>
        <v>Saturday</v>
      </c>
      <c r="F614" s="4" t="str">
        <f t="shared" si="10"/>
        <v>April</v>
      </c>
      <c r="G614" s="4"/>
      <c r="H614" s="3">
        <v>45017</v>
      </c>
      <c r="I614" s="4" t="s">
        <v>648</v>
      </c>
      <c r="J614" s="4" t="s">
        <v>29</v>
      </c>
      <c r="K614" s="4">
        <v>36</v>
      </c>
      <c r="L614" s="4" t="str" cm="1">
        <f t="array" ref="L614">_xlfn.IFS(K614&gt;=50, "Senior", K614&gt;=30, "Adult", K614&lt;30, "Young Adult")</f>
        <v>Adult</v>
      </c>
      <c r="M614" s="4" t="s">
        <v>3</v>
      </c>
      <c r="N614" s="4">
        <v>4</v>
      </c>
      <c r="O614" s="5">
        <v>300</v>
      </c>
      <c r="P614">
        <f>N614*O614</f>
        <v>1200</v>
      </c>
      <c r="Q614">
        <f>(P614*$U$4)</f>
        <v>18</v>
      </c>
    </row>
    <row r="615" spans="1:17">
      <c r="A615" s="2">
        <v>615</v>
      </c>
      <c r="B615" s="4">
        <f>YEAR(H615)</f>
        <v>2023</v>
      </c>
      <c r="C615" s="4">
        <f>MONTH(H615)</f>
        <v>12</v>
      </c>
      <c r="D615" s="4">
        <f>DAY(H615)</f>
        <v>23</v>
      </c>
      <c r="E615" s="4" t="str">
        <f>TEXT(H615,"dddd")</f>
        <v>Saturday</v>
      </c>
      <c r="F615" s="4" t="str">
        <f t="shared" si="10"/>
        <v>December</v>
      </c>
      <c r="G615" s="4"/>
      <c r="H615" s="3">
        <v>45283</v>
      </c>
      <c r="I615" s="4" t="s">
        <v>649</v>
      </c>
      <c r="J615" s="4" t="s">
        <v>29</v>
      </c>
      <c r="K615" s="4">
        <v>36</v>
      </c>
      <c r="L615" s="4" t="str" cm="1">
        <f t="array" ref="L615">_xlfn.IFS(K615&gt;=50, "Senior", K615&gt;=30, "Adult", K615&lt;30, "Young Adult")</f>
        <v>Adult</v>
      </c>
      <c r="M615" s="4" t="s">
        <v>8</v>
      </c>
      <c r="N615" s="4">
        <v>4</v>
      </c>
      <c r="O615" s="5">
        <v>25</v>
      </c>
      <c r="P615">
        <f>N615*O615</f>
        <v>100</v>
      </c>
      <c r="Q615">
        <f>(P615*$U$4)</f>
        <v>1.5</v>
      </c>
    </row>
    <row r="616" spans="1:17">
      <c r="A616" s="2">
        <v>616</v>
      </c>
      <c r="B616" s="4">
        <f>YEAR(H616)</f>
        <v>2023</v>
      </c>
      <c r="C616" s="4">
        <f>MONTH(H616)</f>
        <v>9</v>
      </c>
      <c r="D616" s="4">
        <f>DAY(H616)</f>
        <v>23</v>
      </c>
      <c r="E616" s="4" t="str">
        <f>TEXT(H616,"dddd")</f>
        <v>Saturday</v>
      </c>
      <c r="F616" s="4" t="str">
        <f t="shared" si="10"/>
        <v>September</v>
      </c>
      <c r="G616" s="4"/>
      <c r="H616" s="3">
        <v>45192</v>
      </c>
      <c r="I616" s="4" t="s">
        <v>650</v>
      </c>
      <c r="J616" s="4" t="s">
        <v>27</v>
      </c>
      <c r="K616" s="4">
        <v>36</v>
      </c>
      <c r="L616" s="4" t="str" cm="1">
        <f t="array" ref="L616">_xlfn.IFS(K616&gt;=50, "Senior", K616&gt;=30, "Adult", K616&lt;30, "Young Adult")</f>
        <v>Adult</v>
      </c>
      <c r="M616" s="4" t="s">
        <v>8</v>
      </c>
      <c r="N616" s="4">
        <v>2</v>
      </c>
      <c r="O616" s="5">
        <v>50</v>
      </c>
      <c r="P616">
        <f>N616*O616</f>
        <v>100</v>
      </c>
      <c r="Q616">
        <f>(P616*$U$4)</f>
        <v>1.5</v>
      </c>
    </row>
    <row r="617" spans="1:17">
      <c r="A617" s="2">
        <v>617</v>
      </c>
      <c r="B617" s="4">
        <f>YEAR(H617)</f>
        <v>2023</v>
      </c>
      <c r="C617" s="4">
        <f>MONTH(H617)</f>
        <v>8</v>
      </c>
      <c r="D617" s="4">
        <f>DAY(H617)</f>
        <v>26</v>
      </c>
      <c r="E617" s="4" t="str">
        <f>TEXT(H617,"dddd")</f>
        <v>Saturday</v>
      </c>
      <c r="F617" s="4" t="str">
        <f t="shared" si="10"/>
        <v>August</v>
      </c>
      <c r="G617" s="4"/>
      <c r="H617" s="3">
        <v>45164</v>
      </c>
      <c r="I617" s="4" t="s">
        <v>651</v>
      </c>
      <c r="J617" s="4" t="s">
        <v>27</v>
      </c>
      <c r="K617" s="4">
        <v>36</v>
      </c>
      <c r="L617" s="4" t="str" cm="1">
        <f t="array" ref="L617">_xlfn.IFS(K617&gt;=50, "Senior", K617&gt;=30, "Adult", K617&lt;30, "Young Adult")</f>
        <v>Adult</v>
      </c>
      <c r="M617" s="4" t="s">
        <v>10</v>
      </c>
      <c r="N617" s="4">
        <v>1</v>
      </c>
      <c r="O617" s="5">
        <v>30</v>
      </c>
      <c r="P617">
        <f>N617*O617</f>
        <v>30</v>
      </c>
      <c r="Q617">
        <f>(P617*$U$4)</f>
        <v>0.44999999999999996</v>
      </c>
    </row>
    <row r="618" spans="1:17">
      <c r="A618" s="2">
        <v>618</v>
      </c>
      <c r="B618" s="4">
        <f>YEAR(H618)</f>
        <v>2023</v>
      </c>
      <c r="C618" s="4">
        <f>MONTH(H618)</f>
        <v>1</v>
      </c>
      <c r="D618" s="4">
        <f>DAY(H618)</f>
        <v>26</v>
      </c>
      <c r="E618" s="4" t="str">
        <f>TEXT(H618,"dddd")</f>
        <v>Thursday</v>
      </c>
      <c r="F618" s="4" t="str">
        <f t="shared" si="10"/>
        <v>January</v>
      </c>
      <c r="G618" s="4"/>
      <c r="H618" s="3">
        <v>44952</v>
      </c>
      <c r="I618" s="4" t="s">
        <v>652</v>
      </c>
      <c r="J618" s="4" t="s">
        <v>29</v>
      </c>
      <c r="K618" s="4">
        <v>36</v>
      </c>
      <c r="L618" s="4" t="str" cm="1">
        <f t="array" ref="L618">_xlfn.IFS(K618&gt;=50, "Senior", K618&gt;=30, "Adult", K618&lt;30, "Young Adult")</f>
        <v>Adult</v>
      </c>
      <c r="M618" s="4" t="s">
        <v>3</v>
      </c>
      <c r="N618" s="4">
        <v>1</v>
      </c>
      <c r="O618" s="5">
        <v>50</v>
      </c>
      <c r="P618">
        <f>N618*O618</f>
        <v>50</v>
      </c>
      <c r="Q618">
        <f>(P618*$U$4)</f>
        <v>0.75</v>
      </c>
    </row>
    <row r="619" spans="1:17">
      <c r="A619" s="2">
        <v>619</v>
      </c>
      <c r="B619" s="4">
        <f>YEAR(H619)</f>
        <v>2023</v>
      </c>
      <c r="C619" s="4">
        <f>MONTH(H619)</f>
        <v>10</v>
      </c>
      <c r="D619" s="4">
        <f>DAY(H619)</f>
        <v>13</v>
      </c>
      <c r="E619" s="4" t="str">
        <f>TEXT(H619,"dddd")</f>
        <v>Friday</v>
      </c>
      <c r="F619" s="4" t="str">
        <f t="shared" si="10"/>
        <v>October</v>
      </c>
      <c r="G619" s="4"/>
      <c r="H619" s="3">
        <v>45212</v>
      </c>
      <c r="I619" s="4" t="s">
        <v>653</v>
      </c>
      <c r="J619" s="4" t="s">
        <v>27</v>
      </c>
      <c r="K619" s="4">
        <v>36</v>
      </c>
      <c r="L619" s="4" t="str" cm="1">
        <f t="array" ref="L619">_xlfn.IFS(K619&gt;=50, "Senior", K619&gt;=30, "Adult", K619&lt;30, "Young Adult")</f>
        <v>Adult</v>
      </c>
      <c r="M619" s="4" t="s">
        <v>10</v>
      </c>
      <c r="N619" s="4">
        <v>4</v>
      </c>
      <c r="O619" s="5">
        <v>25</v>
      </c>
      <c r="P619">
        <f>N619*O619</f>
        <v>100</v>
      </c>
      <c r="Q619">
        <f>(P619*$U$4)</f>
        <v>1.5</v>
      </c>
    </row>
    <row r="620" spans="1:17">
      <c r="A620" s="2">
        <v>620</v>
      </c>
      <c r="B620" s="4">
        <f>YEAR(H620)</f>
        <v>2023</v>
      </c>
      <c r="C620" s="4">
        <f>MONTH(H620)</f>
        <v>5</v>
      </c>
      <c r="D620" s="4">
        <f>DAY(H620)</f>
        <v>8</v>
      </c>
      <c r="E620" s="4" t="str">
        <f>TEXT(H620,"dddd")</f>
        <v>Monday</v>
      </c>
      <c r="F620" s="4" t="str">
        <f t="shared" si="10"/>
        <v>May</v>
      </c>
      <c r="G620" s="4"/>
      <c r="H620" s="3">
        <v>45054</v>
      </c>
      <c r="I620" s="4" t="s">
        <v>654</v>
      </c>
      <c r="J620" s="4" t="s">
        <v>27</v>
      </c>
      <c r="K620" s="4">
        <v>36</v>
      </c>
      <c r="L620" s="4" t="str" cm="1">
        <f t="array" ref="L620">_xlfn.IFS(K620&gt;=50, "Senior", K620&gt;=30, "Adult", K620&lt;30, "Young Adult")</f>
        <v>Adult</v>
      </c>
      <c r="M620" s="4" t="s">
        <v>10</v>
      </c>
      <c r="N620" s="4">
        <v>3</v>
      </c>
      <c r="O620" s="5">
        <v>25</v>
      </c>
      <c r="P620">
        <f>N620*O620</f>
        <v>75</v>
      </c>
      <c r="Q620">
        <f>(P620*$U$4)</f>
        <v>1.125</v>
      </c>
    </row>
    <row r="621" spans="1:17">
      <c r="A621" s="2">
        <v>621</v>
      </c>
      <c r="B621" s="4">
        <f>YEAR(H621)</f>
        <v>2023</v>
      </c>
      <c r="C621" s="4">
        <f>MONTH(H621)</f>
        <v>3</v>
      </c>
      <c r="D621" s="4">
        <f>DAY(H621)</f>
        <v>4</v>
      </c>
      <c r="E621" s="4" t="str">
        <f>TEXT(H621,"dddd")</f>
        <v>Saturday</v>
      </c>
      <c r="F621" s="4" t="str">
        <f t="shared" si="10"/>
        <v>March</v>
      </c>
      <c r="G621" s="4"/>
      <c r="H621" s="3">
        <v>44989</v>
      </c>
      <c r="I621" s="4" t="s">
        <v>655</v>
      </c>
      <c r="J621" s="4" t="s">
        <v>29</v>
      </c>
      <c r="K621" s="4">
        <v>36</v>
      </c>
      <c r="L621" s="4" t="str" cm="1">
        <f t="array" ref="L621">_xlfn.IFS(K621&gt;=50, "Senior", K621&gt;=30, "Adult", K621&lt;30, "Young Adult")</f>
        <v>Adult</v>
      </c>
      <c r="M621" s="4" t="s">
        <v>3</v>
      </c>
      <c r="N621" s="4">
        <v>2</v>
      </c>
      <c r="O621" s="5">
        <v>500</v>
      </c>
      <c r="P621">
        <f>N621*O621</f>
        <v>1000</v>
      </c>
      <c r="Q621">
        <f>(P621*$U$4)</f>
        <v>15</v>
      </c>
    </row>
    <row r="622" spans="1:17">
      <c r="A622" s="2">
        <v>622</v>
      </c>
      <c r="B622" s="4">
        <f>YEAR(H622)</f>
        <v>2023</v>
      </c>
      <c r="C622" s="4">
        <f>MONTH(H622)</f>
        <v>8</v>
      </c>
      <c r="D622" s="4">
        <f>DAY(H622)</f>
        <v>22</v>
      </c>
      <c r="E622" s="4" t="str">
        <f>TEXT(H622,"dddd")</f>
        <v>Tuesday</v>
      </c>
      <c r="F622" s="4" t="str">
        <f t="shared" si="10"/>
        <v>August</v>
      </c>
      <c r="G622" s="4"/>
      <c r="H622" s="3">
        <v>45160</v>
      </c>
      <c r="I622" s="4" t="s">
        <v>656</v>
      </c>
      <c r="J622" s="4" t="s">
        <v>29</v>
      </c>
      <c r="K622" s="4">
        <v>36</v>
      </c>
      <c r="L622" s="4" t="str" cm="1">
        <f t="array" ref="L622">_xlfn.IFS(K622&gt;=50, "Senior", K622&gt;=30, "Adult", K622&lt;30, "Young Adult")</f>
        <v>Adult</v>
      </c>
      <c r="M622" s="4" t="s">
        <v>3</v>
      </c>
      <c r="N622" s="4">
        <v>3</v>
      </c>
      <c r="O622" s="5">
        <v>25</v>
      </c>
      <c r="P622">
        <f>N622*O622</f>
        <v>75</v>
      </c>
      <c r="Q622">
        <f>(P622*$U$4)</f>
        <v>1.125</v>
      </c>
    </row>
    <row r="623" spans="1:17">
      <c r="A623" s="2">
        <v>623</v>
      </c>
      <c r="B623" s="4">
        <f>YEAR(H623)</f>
        <v>2023</v>
      </c>
      <c r="C623" s="4">
        <f>MONTH(H623)</f>
        <v>3</v>
      </c>
      <c r="D623" s="4">
        <f>DAY(H623)</f>
        <v>10</v>
      </c>
      <c r="E623" s="4" t="str">
        <f>TEXT(H623,"dddd")</f>
        <v>Friday</v>
      </c>
      <c r="F623" s="4" t="str">
        <f t="shared" si="10"/>
        <v>March</v>
      </c>
      <c r="G623" s="4"/>
      <c r="H623" s="3">
        <v>44995</v>
      </c>
      <c r="I623" s="4" t="s">
        <v>657</v>
      </c>
      <c r="J623" s="4" t="s">
        <v>27</v>
      </c>
      <c r="K623" s="4">
        <v>36</v>
      </c>
      <c r="L623" s="4" t="str" cm="1">
        <f t="array" ref="L623">_xlfn.IFS(K623&gt;=50, "Senior", K623&gt;=30, "Adult", K623&lt;30, "Young Adult")</f>
        <v>Adult</v>
      </c>
      <c r="M623" s="4" t="s">
        <v>8</v>
      </c>
      <c r="N623" s="4">
        <v>3</v>
      </c>
      <c r="O623" s="5">
        <v>50</v>
      </c>
      <c r="P623">
        <f>N623*O623</f>
        <v>150</v>
      </c>
      <c r="Q623">
        <f>(P623*$U$4)</f>
        <v>2.25</v>
      </c>
    </row>
    <row r="624" spans="1:17">
      <c r="A624" s="2">
        <v>624</v>
      </c>
      <c r="B624" s="4">
        <f>YEAR(H624)</f>
        <v>2023</v>
      </c>
      <c r="C624" s="4">
        <f>MONTH(H624)</f>
        <v>8</v>
      </c>
      <c r="D624" s="4">
        <f>DAY(H624)</f>
        <v>26</v>
      </c>
      <c r="E624" s="4" t="str">
        <f>TEXT(H624,"dddd")</f>
        <v>Saturday</v>
      </c>
      <c r="F624" s="4" t="str">
        <f t="shared" si="10"/>
        <v>August</v>
      </c>
      <c r="G624" s="4"/>
      <c r="H624" s="3">
        <v>45164</v>
      </c>
      <c r="I624" s="4" t="s">
        <v>658</v>
      </c>
      <c r="J624" s="4" t="s">
        <v>29</v>
      </c>
      <c r="K624" s="4">
        <v>36</v>
      </c>
      <c r="L624" s="4" t="str" cm="1">
        <f t="array" ref="L624">_xlfn.IFS(K624&gt;=50, "Senior", K624&gt;=30, "Adult", K624&lt;30, "Young Adult")</f>
        <v>Adult</v>
      </c>
      <c r="M624" s="4" t="s">
        <v>3</v>
      </c>
      <c r="N624" s="4">
        <v>3</v>
      </c>
      <c r="O624" s="5">
        <v>300</v>
      </c>
      <c r="P624">
        <f>N624*O624</f>
        <v>900</v>
      </c>
      <c r="Q624">
        <f>(P624*$U$4)</f>
        <v>13.5</v>
      </c>
    </row>
    <row r="625" spans="1:17">
      <c r="A625" s="2">
        <v>625</v>
      </c>
      <c r="B625" s="4">
        <f>YEAR(H625)</f>
        <v>2023</v>
      </c>
      <c r="C625" s="4">
        <f>MONTH(H625)</f>
        <v>12</v>
      </c>
      <c r="D625" s="4">
        <f>DAY(H625)</f>
        <v>8</v>
      </c>
      <c r="E625" s="4" t="str">
        <f>TEXT(H625,"dddd")</f>
        <v>Friday</v>
      </c>
      <c r="F625" s="4" t="str">
        <f t="shared" si="10"/>
        <v>December</v>
      </c>
      <c r="G625" s="4"/>
      <c r="H625" s="3">
        <v>45268</v>
      </c>
      <c r="I625" s="4" t="s">
        <v>659</v>
      </c>
      <c r="J625" s="4" t="s">
        <v>27</v>
      </c>
      <c r="K625" s="4">
        <v>36</v>
      </c>
      <c r="L625" s="4" t="str" cm="1">
        <f t="array" ref="L625">_xlfn.IFS(K625&gt;=50, "Senior", K625&gt;=30, "Adult", K625&lt;30, "Young Adult")</f>
        <v>Adult</v>
      </c>
      <c r="M625" s="4" t="s">
        <v>8</v>
      </c>
      <c r="N625" s="4">
        <v>1</v>
      </c>
      <c r="O625" s="5">
        <v>300</v>
      </c>
      <c r="P625">
        <f>N625*O625</f>
        <v>300</v>
      </c>
      <c r="Q625">
        <f>(P625*$U$4)</f>
        <v>4.5</v>
      </c>
    </row>
    <row r="626" spans="1:17">
      <c r="A626" s="2">
        <v>626</v>
      </c>
      <c r="B626" s="4">
        <f>YEAR(H626)</f>
        <v>2023</v>
      </c>
      <c r="C626" s="4">
        <f>MONTH(H626)</f>
        <v>9</v>
      </c>
      <c r="D626" s="4">
        <f>DAY(H626)</f>
        <v>29</v>
      </c>
      <c r="E626" s="4" t="str">
        <f>TEXT(H626,"dddd")</f>
        <v>Friday</v>
      </c>
      <c r="F626" s="4" t="str">
        <f t="shared" si="10"/>
        <v>September</v>
      </c>
      <c r="G626" s="4"/>
      <c r="H626" s="3">
        <v>45198</v>
      </c>
      <c r="I626" s="4" t="s">
        <v>660</v>
      </c>
      <c r="J626" s="4" t="s">
        <v>29</v>
      </c>
      <c r="K626" s="4">
        <v>36</v>
      </c>
      <c r="L626" s="4" t="str" cm="1">
        <f t="array" ref="L626">_xlfn.IFS(K626&gt;=50, "Senior", K626&gt;=30, "Adult", K626&lt;30, "Young Adult")</f>
        <v>Adult</v>
      </c>
      <c r="M626" s="4" t="s">
        <v>8</v>
      </c>
      <c r="N626" s="4">
        <v>4</v>
      </c>
      <c r="O626" s="5">
        <v>500</v>
      </c>
      <c r="P626">
        <f>N626*O626</f>
        <v>2000</v>
      </c>
      <c r="Q626">
        <f>(P626*$U$4)</f>
        <v>30</v>
      </c>
    </row>
    <row r="627" spans="1:17">
      <c r="A627" s="2">
        <v>627</v>
      </c>
      <c r="B627" s="4">
        <f>YEAR(H627)</f>
        <v>2023</v>
      </c>
      <c r="C627" s="4">
        <f>MONTH(H627)</f>
        <v>10</v>
      </c>
      <c r="D627" s="4">
        <f>DAY(H627)</f>
        <v>14</v>
      </c>
      <c r="E627" s="4" t="str">
        <f>TEXT(H627,"dddd")</f>
        <v>Saturday</v>
      </c>
      <c r="F627" s="4" t="str">
        <f t="shared" si="10"/>
        <v>October</v>
      </c>
      <c r="G627" s="4"/>
      <c r="H627" s="3">
        <v>45213</v>
      </c>
      <c r="I627" s="4" t="s">
        <v>661</v>
      </c>
      <c r="J627" s="4" t="s">
        <v>27</v>
      </c>
      <c r="K627" s="4">
        <v>35</v>
      </c>
      <c r="L627" s="4" t="str" cm="1">
        <f t="array" ref="L627">_xlfn.IFS(K627&gt;=50, "Senior", K627&gt;=30, "Adult", K627&lt;30, "Young Adult")</f>
        <v>Adult</v>
      </c>
      <c r="M627" s="4" t="s">
        <v>8</v>
      </c>
      <c r="N627" s="4">
        <v>1</v>
      </c>
      <c r="O627" s="5">
        <v>50</v>
      </c>
      <c r="P627">
        <f>N627*O627</f>
        <v>50</v>
      </c>
      <c r="Q627">
        <f>(P627*$U$4)</f>
        <v>0.75</v>
      </c>
    </row>
    <row r="628" spans="1:17">
      <c r="A628" s="2">
        <v>628</v>
      </c>
      <c r="B628" s="4">
        <f>YEAR(H628)</f>
        <v>2023</v>
      </c>
      <c r="C628" s="4">
        <f>MONTH(H628)</f>
        <v>11</v>
      </c>
      <c r="D628" s="4">
        <f>DAY(H628)</f>
        <v>1</v>
      </c>
      <c r="E628" s="4" t="str">
        <f>TEXT(H628,"dddd")</f>
        <v>Wednesday</v>
      </c>
      <c r="F628" s="4" t="str">
        <f t="shared" si="10"/>
        <v>November</v>
      </c>
      <c r="G628" s="4"/>
      <c r="H628" s="3">
        <v>45231</v>
      </c>
      <c r="I628" s="4" t="s">
        <v>662</v>
      </c>
      <c r="J628" s="4" t="s">
        <v>29</v>
      </c>
      <c r="K628" s="4">
        <v>35</v>
      </c>
      <c r="L628" s="4" t="str" cm="1">
        <f t="array" ref="L628">_xlfn.IFS(K628&gt;=50, "Senior", K628&gt;=30, "Adult", K628&lt;30, "Young Adult")</f>
        <v>Adult</v>
      </c>
      <c r="M628" s="4" t="s">
        <v>3</v>
      </c>
      <c r="N628" s="4">
        <v>4</v>
      </c>
      <c r="O628" s="5">
        <v>50</v>
      </c>
      <c r="P628">
        <f>N628*O628</f>
        <v>200</v>
      </c>
      <c r="Q628">
        <f>(P628*$U$4)</f>
        <v>3</v>
      </c>
    </row>
    <row r="629" spans="1:17">
      <c r="A629" s="2">
        <v>629</v>
      </c>
      <c r="B629" s="4">
        <f>YEAR(H629)</f>
        <v>2023</v>
      </c>
      <c r="C629" s="4">
        <f>MONTH(H629)</f>
        <v>6</v>
      </c>
      <c r="D629" s="4">
        <f>DAY(H629)</f>
        <v>12</v>
      </c>
      <c r="E629" s="4" t="str">
        <f>TEXT(H629,"dddd")</f>
        <v>Monday</v>
      </c>
      <c r="F629" s="4" t="str">
        <f t="shared" si="10"/>
        <v>June</v>
      </c>
      <c r="G629" s="4"/>
      <c r="H629" s="3">
        <v>45089</v>
      </c>
      <c r="I629" s="4" t="s">
        <v>663</v>
      </c>
      <c r="J629" s="4" t="s">
        <v>27</v>
      </c>
      <c r="K629" s="4">
        <v>35</v>
      </c>
      <c r="L629" s="4" t="str" cm="1">
        <f t="array" ref="L629">_xlfn.IFS(K629&gt;=50, "Senior", K629&gt;=30, "Adult", K629&lt;30, "Young Adult")</f>
        <v>Adult</v>
      </c>
      <c r="M629" s="4" t="s">
        <v>10</v>
      </c>
      <c r="N629" s="4">
        <v>2</v>
      </c>
      <c r="O629" s="5">
        <v>25</v>
      </c>
      <c r="P629">
        <f>N629*O629</f>
        <v>50</v>
      </c>
      <c r="Q629">
        <f>(P629*$U$4)</f>
        <v>0.75</v>
      </c>
    </row>
    <row r="630" spans="1:17">
      <c r="A630" s="2">
        <v>630</v>
      </c>
      <c r="B630" s="4">
        <f>YEAR(H630)</f>
        <v>2023</v>
      </c>
      <c r="C630" s="4">
        <f>MONTH(H630)</f>
        <v>8</v>
      </c>
      <c r="D630" s="4">
        <f>DAY(H630)</f>
        <v>15</v>
      </c>
      <c r="E630" s="4" t="str">
        <f>TEXT(H630,"dddd")</f>
        <v>Tuesday</v>
      </c>
      <c r="F630" s="4" t="str">
        <f t="shared" si="10"/>
        <v>August</v>
      </c>
      <c r="G630" s="4"/>
      <c r="H630" s="3">
        <v>45153</v>
      </c>
      <c r="I630" s="4" t="s">
        <v>664</v>
      </c>
      <c r="J630" s="4" t="s">
        <v>27</v>
      </c>
      <c r="K630" s="4">
        <v>35</v>
      </c>
      <c r="L630" s="4" t="str" cm="1">
        <f t="array" ref="L630">_xlfn.IFS(K630&gt;=50, "Senior", K630&gt;=30, "Adult", K630&lt;30, "Young Adult")</f>
        <v>Adult</v>
      </c>
      <c r="M630" s="4" t="s">
        <v>8</v>
      </c>
      <c r="N630" s="4">
        <v>2</v>
      </c>
      <c r="O630" s="5">
        <v>50</v>
      </c>
      <c r="P630">
        <f>N630*O630</f>
        <v>100</v>
      </c>
      <c r="Q630">
        <f>(P630*$U$4)</f>
        <v>1.5</v>
      </c>
    </row>
    <row r="631" spans="1:17">
      <c r="A631" s="2">
        <v>631</v>
      </c>
      <c r="B631" s="4">
        <f>YEAR(H631)</f>
        <v>2023</v>
      </c>
      <c r="C631" s="4">
        <f>MONTH(H631)</f>
        <v>11</v>
      </c>
      <c r="D631" s="4">
        <f>DAY(H631)</f>
        <v>10</v>
      </c>
      <c r="E631" s="4" t="str">
        <f>TEXT(H631,"dddd")</f>
        <v>Friday</v>
      </c>
      <c r="F631" s="4" t="str">
        <f t="shared" si="10"/>
        <v>November</v>
      </c>
      <c r="G631" s="4"/>
      <c r="H631" s="3">
        <v>45240</v>
      </c>
      <c r="I631" s="4" t="s">
        <v>665</v>
      </c>
      <c r="J631" s="4" t="s">
        <v>27</v>
      </c>
      <c r="K631" s="4">
        <v>35</v>
      </c>
      <c r="L631" s="4" t="str" cm="1">
        <f t="array" ref="L631">_xlfn.IFS(K631&gt;=50, "Senior", K631&gt;=30, "Adult", K631&lt;30, "Young Adult")</f>
        <v>Adult</v>
      </c>
      <c r="M631" s="4" t="s">
        <v>10</v>
      </c>
      <c r="N631" s="4">
        <v>3</v>
      </c>
      <c r="O631" s="5">
        <v>30</v>
      </c>
      <c r="P631">
        <f>N631*O631</f>
        <v>90</v>
      </c>
      <c r="Q631">
        <f>(P631*$U$4)</f>
        <v>1.3499999999999999</v>
      </c>
    </row>
    <row r="632" spans="1:17">
      <c r="A632" s="2">
        <v>632</v>
      </c>
      <c r="B632" s="4">
        <f>YEAR(H632)</f>
        <v>2023</v>
      </c>
      <c r="C632" s="4">
        <f>MONTH(H632)</f>
        <v>9</v>
      </c>
      <c r="D632" s="4">
        <f>DAY(H632)</f>
        <v>16</v>
      </c>
      <c r="E632" s="4" t="str">
        <f>TEXT(H632,"dddd")</f>
        <v>Saturday</v>
      </c>
      <c r="F632" s="4" t="str">
        <f t="shared" si="10"/>
        <v>September</v>
      </c>
      <c r="G632" s="4"/>
      <c r="H632" s="3">
        <v>45185</v>
      </c>
      <c r="I632" s="4" t="s">
        <v>666</v>
      </c>
      <c r="J632" s="4" t="s">
        <v>29</v>
      </c>
      <c r="K632" s="4">
        <v>35</v>
      </c>
      <c r="L632" s="4" t="str" cm="1">
        <f t="array" ref="L632">_xlfn.IFS(K632&gt;=50, "Senior", K632&gt;=30, "Adult", K632&lt;30, "Young Adult")</f>
        <v>Adult</v>
      </c>
      <c r="M632" s="4" t="s">
        <v>10</v>
      </c>
      <c r="N632" s="4">
        <v>4</v>
      </c>
      <c r="O632" s="5">
        <v>25</v>
      </c>
      <c r="P632">
        <f>N632*O632</f>
        <v>100</v>
      </c>
      <c r="Q632">
        <f>(P632*$U$4)</f>
        <v>1.5</v>
      </c>
    </row>
    <row r="633" spans="1:17">
      <c r="A633" s="2">
        <v>633</v>
      </c>
      <c r="B633" s="4">
        <f>YEAR(H633)</f>
        <v>2023</v>
      </c>
      <c r="C633" s="4">
        <f>MONTH(H633)</f>
        <v>8</v>
      </c>
      <c r="D633" s="4">
        <f>DAY(H633)</f>
        <v>7</v>
      </c>
      <c r="E633" s="4" t="str">
        <f>TEXT(H633,"dddd")</f>
        <v>Monday</v>
      </c>
      <c r="F633" s="4" t="str">
        <f t="shared" si="10"/>
        <v>August</v>
      </c>
      <c r="G633" s="4"/>
      <c r="H633" s="3">
        <v>45145</v>
      </c>
      <c r="I633" s="4" t="s">
        <v>667</v>
      </c>
      <c r="J633" s="4" t="s">
        <v>27</v>
      </c>
      <c r="K633" s="4">
        <v>35</v>
      </c>
      <c r="L633" s="4" t="str" cm="1">
        <f t="array" ref="L633">_xlfn.IFS(K633&gt;=50, "Senior", K633&gt;=30, "Adult", K633&lt;30, "Young Adult")</f>
        <v>Adult</v>
      </c>
      <c r="M633" s="4" t="s">
        <v>3</v>
      </c>
      <c r="N633" s="4">
        <v>4</v>
      </c>
      <c r="O633" s="5">
        <v>30</v>
      </c>
      <c r="P633">
        <f>N633*O633</f>
        <v>120</v>
      </c>
      <c r="Q633">
        <f>(P633*$U$4)</f>
        <v>1.7999999999999998</v>
      </c>
    </row>
    <row r="634" spans="1:17">
      <c r="A634" s="2">
        <v>634</v>
      </c>
      <c r="B634" s="4">
        <f>YEAR(H634)</f>
        <v>2023</v>
      </c>
      <c r="C634" s="4">
        <f>MONTH(H634)</f>
        <v>10</v>
      </c>
      <c r="D634" s="4">
        <f>DAY(H634)</f>
        <v>8</v>
      </c>
      <c r="E634" s="4" t="str">
        <f>TEXT(H634,"dddd")</f>
        <v>Sunday</v>
      </c>
      <c r="F634" s="4" t="str">
        <f t="shared" si="10"/>
        <v>October</v>
      </c>
      <c r="G634" s="4"/>
      <c r="H634" s="3">
        <v>45207</v>
      </c>
      <c r="I634" s="4" t="s">
        <v>668</v>
      </c>
      <c r="J634" s="4" t="s">
        <v>27</v>
      </c>
      <c r="K634" s="4">
        <v>35</v>
      </c>
      <c r="L634" s="4" t="str" cm="1">
        <f t="array" ref="L634">_xlfn.IFS(K634&gt;=50, "Senior", K634&gt;=30, "Adult", K634&lt;30, "Young Adult")</f>
        <v>Adult</v>
      </c>
      <c r="M634" s="4" t="s">
        <v>10</v>
      </c>
      <c r="N634" s="4">
        <v>4</v>
      </c>
      <c r="O634" s="5">
        <v>500</v>
      </c>
      <c r="P634">
        <f>N634*O634</f>
        <v>2000</v>
      </c>
      <c r="Q634">
        <f>(P634*$U$4)</f>
        <v>30</v>
      </c>
    </row>
    <row r="635" spans="1:17">
      <c r="A635" s="2">
        <v>635</v>
      </c>
      <c r="B635" s="4">
        <f>YEAR(H635)</f>
        <v>2023</v>
      </c>
      <c r="C635" s="4">
        <f>MONTH(H635)</f>
        <v>8</v>
      </c>
      <c r="D635" s="4">
        <f>DAY(H635)</f>
        <v>17</v>
      </c>
      <c r="E635" s="4" t="str">
        <f>TEXT(H635,"dddd")</f>
        <v>Thursday</v>
      </c>
      <c r="F635" s="4" t="str">
        <f t="shared" si="10"/>
        <v>August</v>
      </c>
      <c r="G635" s="4"/>
      <c r="H635" s="3">
        <v>45155</v>
      </c>
      <c r="I635" s="4" t="s">
        <v>669</v>
      </c>
      <c r="J635" s="4" t="s">
        <v>29</v>
      </c>
      <c r="K635" s="4">
        <v>35</v>
      </c>
      <c r="L635" s="4" t="str" cm="1">
        <f t="array" ref="L635">_xlfn.IFS(K635&gt;=50, "Senior", K635&gt;=30, "Adult", K635&lt;30, "Young Adult")</f>
        <v>Adult</v>
      </c>
      <c r="M635" s="4" t="s">
        <v>10</v>
      </c>
      <c r="N635" s="4">
        <v>3</v>
      </c>
      <c r="O635" s="5">
        <v>300</v>
      </c>
      <c r="P635">
        <f>N635*O635</f>
        <v>900</v>
      </c>
      <c r="Q635">
        <f>(P635*$U$4)</f>
        <v>13.5</v>
      </c>
    </row>
    <row r="636" spans="1:17">
      <c r="A636" s="2">
        <v>636</v>
      </c>
      <c r="B636" s="4">
        <f>YEAR(H636)</f>
        <v>2023</v>
      </c>
      <c r="C636" s="4">
        <f>MONTH(H636)</f>
        <v>3</v>
      </c>
      <c r="D636" s="4">
        <f>DAY(H636)</f>
        <v>23</v>
      </c>
      <c r="E636" s="4" t="str">
        <f>TEXT(H636,"dddd")</f>
        <v>Thursday</v>
      </c>
      <c r="F636" s="4" t="str">
        <f t="shared" si="10"/>
        <v>March</v>
      </c>
      <c r="G636" s="4"/>
      <c r="H636" s="3">
        <v>45008</v>
      </c>
      <c r="I636" s="4" t="s">
        <v>670</v>
      </c>
      <c r="J636" s="4" t="s">
        <v>29</v>
      </c>
      <c r="K636" s="4">
        <v>35</v>
      </c>
      <c r="L636" s="4" t="str" cm="1">
        <f t="array" ref="L636">_xlfn.IFS(K636&gt;=50, "Senior", K636&gt;=30, "Adult", K636&lt;30, "Young Adult")</f>
        <v>Adult</v>
      </c>
      <c r="M636" s="4" t="s">
        <v>3</v>
      </c>
      <c r="N636" s="4">
        <v>3</v>
      </c>
      <c r="O636" s="5">
        <v>500</v>
      </c>
      <c r="P636">
        <f>N636*O636</f>
        <v>1500</v>
      </c>
      <c r="Q636">
        <f>(P636*$U$4)</f>
        <v>22.5</v>
      </c>
    </row>
    <row r="637" spans="1:17">
      <c r="A637" s="2">
        <v>637</v>
      </c>
      <c r="B637" s="4">
        <f>YEAR(H637)</f>
        <v>2023</v>
      </c>
      <c r="C637" s="4">
        <f>MONTH(H637)</f>
        <v>9</v>
      </c>
      <c r="D637" s="4">
        <f>DAY(H637)</f>
        <v>1</v>
      </c>
      <c r="E637" s="4" t="str">
        <f>TEXT(H637,"dddd")</f>
        <v>Friday</v>
      </c>
      <c r="F637" s="4" t="str">
        <f t="shared" si="10"/>
        <v>September</v>
      </c>
      <c r="G637" s="4"/>
      <c r="H637" s="3">
        <v>45170</v>
      </c>
      <c r="I637" s="4" t="s">
        <v>671</v>
      </c>
      <c r="J637" s="4" t="s">
        <v>27</v>
      </c>
      <c r="K637" s="4">
        <v>35</v>
      </c>
      <c r="L637" s="4" t="str" cm="1">
        <f t="array" ref="L637">_xlfn.IFS(K637&gt;=50, "Senior", K637&gt;=30, "Adult", K637&lt;30, "Young Adult")</f>
        <v>Adult</v>
      </c>
      <c r="M637" s="4" t="s">
        <v>8</v>
      </c>
      <c r="N637" s="4">
        <v>2</v>
      </c>
      <c r="O637" s="5">
        <v>300</v>
      </c>
      <c r="P637">
        <f>N637*O637</f>
        <v>600</v>
      </c>
      <c r="Q637">
        <f>(P637*$U$4)</f>
        <v>9</v>
      </c>
    </row>
    <row r="638" spans="1:17">
      <c r="A638" s="2">
        <v>638</v>
      </c>
      <c r="B638" s="4">
        <f>YEAR(H638)</f>
        <v>2023</v>
      </c>
      <c r="C638" s="4">
        <f>MONTH(H638)</f>
        <v>8</v>
      </c>
      <c r="D638" s="4">
        <f>DAY(H638)</f>
        <v>19</v>
      </c>
      <c r="E638" s="4" t="str">
        <f>TEXT(H638,"dddd")</f>
        <v>Saturday</v>
      </c>
      <c r="F638" s="4" t="str">
        <f t="shared" si="10"/>
        <v>August</v>
      </c>
      <c r="G638" s="4"/>
      <c r="H638" s="3">
        <v>45157</v>
      </c>
      <c r="I638" s="4" t="s">
        <v>672</v>
      </c>
      <c r="J638" s="4" t="s">
        <v>27</v>
      </c>
      <c r="K638" s="4">
        <v>35</v>
      </c>
      <c r="L638" s="4" t="str" cm="1">
        <f t="array" ref="L638">_xlfn.IFS(K638&gt;=50, "Senior", K638&gt;=30, "Adult", K638&lt;30, "Young Adult")</f>
        <v>Adult</v>
      </c>
      <c r="M638" s="4" t="s">
        <v>10</v>
      </c>
      <c r="N638" s="4">
        <v>1</v>
      </c>
      <c r="O638" s="5">
        <v>500</v>
      </c>
      <c r="P638">
        <f>N638*O638</f>
        <v>500</v>
      </c>
      <c r="Q638">
        <f>(P638*$U$4)</f>
        <v>7.5</v>
      </c>
    </row>
    <row r="639" spans="1:17">
      <c r="A639" s="2">
        <v>639</v>
      </c>
      <c r="B639" s="4">
        <f>YEAR(H639)</f>
        <v>2023</v>
      </c>
      <c r="C639" s="4">
        <f>MONTH(H639)</f>
        <v>5</v>
      </c>
      <c r="D639" s="4">
        <f>DAY(H639)</f>
        <v>13</v>
      </c>
      <c r="E639" s="4" t="str">
        <f>TEXT(H639,"dddd")</f>
        <v>Saturday</v>
      </c>
      <c r="F639" s="4" t="str">
        <f t="shared" si="10"/>
        <v>May</v>
      </c>
      <c r="G639" s="4"/>
      <c r="H639" s="3">
        <v>45059</v>
      </c>
      <c r="I639" s="4" t="s">
        <v>673</v>
      </c>
      <c r="J639" s="4" t="s">
        <v>29</v>
      </c>
      <c r="K639" s="4">
        <v>35</v>
      </c>
      <c r="L639" s="4" t="str" cm="1">
        <f t="array" ref="L639">_xlfn.IFS(K639&gt;=50, "Senior", K639&gt;=30, "Adult", K639&lt;30, "Young Adult")</f>
        <v>Adult</v>
      </c>
      <c r="M639" s="4" t="s">
        <v>3</v>
      </c>
      <c r="N639" s="4">
        <v>4</v>
      </c>
      <c r="O639" s="5">
        <v>50</v>
      </c>
      <c r="P639">
        <f>N639*O639</f>
        <v>200</v>
      </c>
      <c r="Q639">
        <f>(P639*$U$4)</f>
        <v>3</v>
      </c>
    </row>
    <row r="640" spans="1:17">
      <c r="A640" s="2">
        <v>640</v>
      </c>
      <c r="B640" s="4">
        <f>YEAR(H640)</f>
        <v>2023</v>
      </c>
      <c r="C640" s="4">
        <f>MONTH(H640)</f>
        <v>5</v>
      </c>
      <c r="D640" s="4">
        <f>DAY(H640)</f>
        <v>7</v>
      </c>
      <c r="E640" s="4" t="str">
        <f>TEXT(H640,"dddd")</f>
        <v>Sunday</v>
      </c>
      <c r="F640" s="4" t="str">
        <f t="shared" si="10"/>
        <v>May</v>
      </c>
      <c r="G640" s="4"/>
      <c r="H640" s="3">
        <v>45053</v>
      </c>
      <c r="I640" s="4" t="s">
        <v>674</v>
      </c>
      <c r="J640" s="4" t="s">
        <v>29</v>
      </c>
      <c r="K640" s="4">
        <v>35</v>
      </c>
      <c r="L640" s="4" t="str" cm="1">
        <f t="array" ref="L640">_xlfn.IFS(K640&gt;=50, "Senior", K640&gt;=30, "Adult", K640&lt;30, "Young Adult")</f>
        <v>Adult</v>
      </c>
      <c r="M640" s="4" t="s">
        <v>10</v>
      </c>
      <c r="N640" s="4">
        <v>4</v>
      </c>
      <c r="O640" s="5">
        <v>30</v>
      </c>
      <c r="P640">
        <f>N640*O640</f>
        <v>120</v>
      </c>
      <c r="Q640">
        <f>(P640*$U$4)</f>
        <v>1.7999999999999998</v>
      </c>
    </row>
    <row r="641" spans="1:17">
      <c r="A641" s="2">
        <v>641</v>
      </c>
      <c r="B641" s="4">
        <f>YEAR(H641)</f>
        <v>2023</v>
      </c>
      <c r="C641" s="4">
        <f>MONTH(H641)</f>
        <v>11</v>
      </c>
      <c r="D641" s="4">
        <f>DAY(H641)</f>
        <v>23</v>
      </c>
      <c r="E641" s="4" t="str">
        <f>TEXT(H641,"dddd")</f>
        <v>Thursday</v>
      </c>
      <c r="F641" s="4" t="str">
        <f t="shared" si="10"/>
        <v>November</v>
      </c>
      <c r="G641" s="4"/>
      <c r="H641" s="3">
        <v>45253</v>
      </c>
      <c r="I641" s="4" t="s">
        <v>675</v>
      </c>
      <c r="J641" s="4" t="s">
        <v>29</v>
      </c>
      <c r="K641" s="4">
        <v>35</v>
      </c>
      <c r="L641" s="4" t="str" cm="1">
        <f t="array" ref="L641">_xlfn.IFS(K641&gt;=50, "Senior", K641&gt;=30, "Adult", K641&lt;30, "Young Adult")</f>
        <v>Adult</v>
      </c>
      <c r="M641" s="4" t="s">
        <v>10</v>
      </c>
      <c r="N641" s="4">
        <v>1</v>
      </c>
      <c r="O641" s="5">
        <v>300</v>
      </c>
      <c r="P641">
        <f>N641*O641</f>
        <v>300</v>
      </c>
      <c r="Q641">
        <f>(P641*$U$4)</f>
        <v>4.5</v>
      </c>
    </row>
    <row r="642" spans="1:17">
      <c r="A642" s="2">
        <v>642</v>
      </c>
      <c r="B642" s="4">
        <f>YEAR(H642)</f>
        <v>2023</v>
      </c>
      <c r="C642" s="4">
        <f>MONTH(H642)</f>
        <v>5</v>
      </c>
      <c r="D642" s="4">
        <f>DAY(H642)</f>
        <v>22</v>
      </c>
      <c r="E642" s="4" t="str">
        <f>TEXT(H642,"dddd")</f>
        <v>Monday</v>
      </c>
      <c r="F642" s="4" t="str">
        <f t="shared" si="10"/>
        <v>May</v>
      </c>
      <c r="G642" s="4"/>
      <c r="H642" s="3">
        <v>45068</v>
      </c>
      <c r="I642" s="4" t="s">
        <v>676</v>
      </c>
      <c r="J642" s="4" t="s">
        <v>29</v>
      </c>
      <c r="K642" s="4">
        <v>35</v>
      </c>
      <c r="L642" s="4" t="str" cm="1">
        <f t="array" ref="L642">_xlfn.IFS(K642&gt;=50, "Senior", K642&gt;=30, "Adult", K642&lt;30, "Young Adult")</f>
        <v>Adult</v>
      </c>
      <c r="M642" s="4" t="s">
        <v>8</v>
      </c>
      <c r="N642" s="4">
        <v>4</v>
      </c>
      <c r="O642" s="5">
        <v>25</v>
      </c>
      <c r="P642">
        <f>N642*O642</f>
        <v>100</v>
      </c>
      <c r="Q642">
        <f>(P642*$U$4)</f>
        <v>1.5</v>
      </c>
    </row>
    <row r="643" spans="1:17">
      <c r="A643" s="2">
        <v>643</v>
      </c>
      <c r="B643" s="4">
        <f>YEAR(H643)</f>
        <v>2023</v>
      </c>
      <c r="C643" s="4">
        <f>MONTH(H643)</f>
        <v>9</v>
      </c>
      <c r="D643" s="4">
        <f>DAY(H643)</f>
        <v>24</v>
      </c>
      <c r="E643" s="4" t="str">
        <f>TEXT(H643,"dddd")</f>
        <v>Sunday</v>
      </c>
      <c r="F643" s="4" t="str">
        <f t="shared" ref="F643:F706" si="11">TEXT(H643,"mmmm")</f>
        <v>September</v>
      </c>
      <c r="G643" s="4"/>
      <c r="H643" s="3">
        <v>45193</v>
      </c>
      <c r="I643" s="4" t="s">
        <v>677</v>
      </c>
      <c r="J643" s="4" t="s">
        <v>29</v>
      </c>
      <c r="K643" s="4">
        <v>35</v>
      </c>
      <c r="L643" s="4" t="str" cm="1">
        <f t="array" ref="L643">_xlfn.IFS(K643&gt;=50, "Senior", K643&gt;=30, "Adult", K643&lt;30, "Young Adult")</f>
        <v>Adult</v>
      </c>
      <c r="M643" s="4" t="s">
        <v>10</v>
      </c>
      <c r="N643" s="4">
        <v>3</v>
      </c>
      <c r="O643" s="5">
        <v>30</v>
      </c>
      <c r="P643">
        <f>N643*O643</f>
        <v>90</v>
      </c>
      <c r="Q643">
        <f>(P643*$U$4)</f>
        <v>1.3499999999999999</v>
      </c>
    </row>
    <row r="644" spans="1:17">
      <c r="A644" s="2">
        <v>644</v>
      </c>
      <c r="B644" s="4">
        <f>YEAR(H644)</f>
        <v>2023</v>
      </c>
      <c r="C644" s="4">
        <f>MONTH(H644)</f>
        <v>9</v>
      </c>
      <c r="D644" s="4">
        <f>DAY(H644)</f>
        <v>6</v>
      </c>
      <c r="E644" s="4" t="str">
        <f>TEXT(H644,"dddd")</f>
        <v>Wednesday</v>
      </c>
      <c r="F644" s="4" t="str">
        <f t="shared" si="11"/>
        <v>September</v>
      </c>
      <c r="G644" s="4"/>
      <c r="H644" s="3">
        <v>45175</v>
      </c>
      <c r="I644" s="4" t="s">
        <v>678</v>
      </c>
      <c r="J644" s="4" t="s">
        <v>27</v>
      </c>
      <c r="K644" s="4">
        <v>35</v>
      </c>
      <c r="L644" s="4" t="str" cm="1">
        <f t="array" ref="L644">_xlfn.IFS(K644&gt;=50, "Senior", K644&gt;=30, "Adult", K644&lt;30, "Young Adult")</f>
        <v>Adult</v>
      </c>
      <c r="M644" s="4" t="s">
        <v>3</v>
      </c>
      <c r="N644" s="4">
        <v>3</v>
      </c>
      <c r="O644" s="5">
        <v>25</v>
      </c>
      <c r="P644">
        <f>N644*O644</f>
        <v>75</v>
      </c>
      <c r="Q644">
        <f>(P644*$U$4)</f>
        <v>1.125</v>
      </c>
    </row>
    <row r="645" spans="1:17">
      <c r="A645" s="2">
        <v>645</v>
      </c>
      <c r="B645" s="4">
        <f>YEAR(H645)</f>
        <v>2023</v>
      </c>
      <c r="C645" s="4">
        <f>MONTH(H645)</f>
        <v>11</v>
      </c>
      <c r="D645" s="4">
        <f>DAY(H645)</f>
        <v>17</v>
      </c>
      <c r="E645" s="4" t="str">
        <f>TEXT(H645,"dddd")</f>
        <v>Friday</v>
      </c>
      <c r="F645" s="4" t="str">
        <f t="shared" si="11"/>
        <v>November</v>
      </c>
      <c r="G645" s="4"/>
      <c r="H645" s="3">
        <v>45247</v>
      </c>
      <c r="I645" s="4" t="s">
        <v>679</v>
      </c>
      <c r="J645" s="4" t="s">
        <v>29</v>
      </c>
      <c r="K645" s="4">
        <v>35</v>
      </c>
      <c r="L645" s="4" t="str" cm="1">
        <f t="array" ref="L645">_xlfn.IFS(K645&gt;=50, "Senior", K645&gt;=30, "Adult", K645&lt;30, "Young Adult")</f>
        <v>Adult</v>
      </c>
      <c r="M645" s="4" t="s">
        <v>10</v>
      </c>
      <c r="N645" s="4">
        <v>4</v>
      </c>
      <c r="O645" s="5">
        <v>30</v>
      </c>
      <c r="P645">
        <f>N645*O645</f>
        <v>120</v>
      </c>
      <c r="Q645">
        <f>(P645*$U$4)</f>
        <v>1.7999999999999998</v>
      </c>
    </row>
    <row r="646" spans="1:17">
      <c r="A646" s="2">
        <v>646</v>
      </c>
      <c r="B646" s="4">
        <f>YEAR(H646)</f>
        <v>2023</v>
      </c>
      <c r="C646" s="4">
        <f>MONTH(H646)</f>
        <v>5</v>
      </c>
      <c r="D646" s="4">
        <f>DAY(H646)</f>
        <v>3</v>
      </c>
      <c r="E646" s="4" t="str">
        <f>TEXT(H646,"dddd")</f>
        <v>Wednesday</v>
      </c>
      <c r="F646" s="4" t="str">
        <f t="shared" si="11"/>
        <v>May</v>
      </c>
      <c r="G646" s="4"/>
      <c r="H646" s="3">
        <v>45049</v>
      </c>
      <c r="I646" s="4" t="s">
        <v>680</v>
      </c>
      <c r="J646" s="4" t="s">
        <v>27</v>
      </c>
      <c r="K646" s="4">
        <v>35</v>
      </c>
      <c r="L646" s="4" t="str" cm="1">
        <f t="array" ref="L646">_xlfn.IFS(K646&gt;=50, "Senior", K646&gt;=30, "Adult", K646&lt;30, "Young Adult")</f>
        <v>Adult</v>
      </c>
      <c r="M646" s="4" t="s">
        <v>8</v>
      </c>
      <c r="N646" s="4">
        <v>3</v>
      </c>
      <c r="O646" s="5">
        <v>30</v>
      </c>
      <c r="P646">
        <f>N646*O646</f>
        <v>90</v>
      </c>
      <c r="Q646">
        <f>(P646*$U$4)</f>
        <v>1.3499999999999999</v>
      </c>
    </row>
    <row r="647" spans="1:17">
      <c r="A647" s="2">
        <v>647</v>
      </c>
      <c r="B647" s="4">
        <f>YEAR(H647)</f>
        <v>2023</v>
      </c>
      <c r="C647" s="4">
        <f>MONTH(H647)</f>
        <v>5</v>
      </c>
      <c r="D647" s="4">
        <f>DAY(H647)</f>
        <v>21</v>
      </c>
      <c r="E647" s="4" t="str">
        <f>TEXT(H647,"dddd")</f>
        <v>Sunday</v>
      </c>
      <c r="F647" s="4" t="str">
        <f t="shared" si="11"/>
        <v>May</v>
      </c>
      <c r="G647" s="4"/>
      <c r="H647" s="3">
        <v>45067</v>
      </c>
      <c r="I647" s="4" t="s">
        <v>681</v>
      </c>
      <c r="J647" s="4" t="s">
        <v>27</v>
      </c>
      <c r="K647" s="4">
        <v>35</v>
      </c>
      <c r="L647" s="4" t="str" cm="1">
        <f t="array" ref="L647">_xlfn.IFS(K647&gt;=50, "Senior", K647&gt;=30, "Adult", K647&lt;30, "Young Adult")</f>
        <v>Adult</v>
      </c>
      <c r="M647" s="4" t="s">
        <v>8</v>
      </c>
      <c r="N647" s="4">
        <v>3</v>
      </c>
      <c r="O647" s="5">
        <v>500</v>
      </c>
      <c r="P647">
        <f>N647*O647</f>
        <v>1500</v>
      </c>
      <c r="Q647">
        <f>(P647*$U$4)</f>
        <v>22.5</v>
      </c>
    </row>
    <row r="648" spans="1:17">
      <c r="A648" s="2">
        <v>648</v>
      </c>
      <c r="B648" s="4">
        <f>YEAR(H648)</f>
        <v>2023</v>
      </c>
      <c r="C648" s="4">
        <f>MONTH(H648)</f>
        <v>8</v>
      </c>
      <c r="D648" s="4">
        <f>DAY(H648)</f>
        <v>14</v>
      </c>
      <c r="E648" s="4" t="str">
        <f>TEXT(H648,"dddd")</f>
        <v>Monday</v>
      </c>
      <c r="F648" s="4" t="str">
        <f t="shared" si="11"/>
        <v>August</v>
      </c>
      <c r="G648" s="4"/>
      <c r="H648" s="3">
        <v>45152</v>
      </c>
      <c r="I648" s="4" t="s">
        <v>682</v>
      </c>
      <c r="J648" s="4" t="s">
        <v>27</v>
      </c>
      <c r="K648" s="4">
        <v>35</v>
      </c>
      <c r="L648" s="4" t="str" cm="1">
        <f t="array" ref="L648">_xlfn.IFS(K648&gt;=50, "Senior", K648&gt;=30, "Adult", K648&lt;30, "Young Adult")</f>
        <v>Adult</v>
      </c>
      <c r="M648" s="4" t="s">
        <v>3</v>
      </c>
      <c r="N648" s="4">
        <v>4</v>
      </c>
      <c r="O648" s="5">
        <v>300</v>
      </c>
      <c r="P648">
        <f>N648*O648</f>
        <v>1200</v>
      </c>
      <c r="Q648">
        <f>(P648*$U$4)</f>
        <v>18</v>
      </c>
    </row>
    <row r="649" spans="1:17">
      <c r="A649" s="2">
        <v>649</v>
      </c>
      <c r="B649" s="4">
        <f>YEAR(H649)</f>
        <v>2023</v>
      </c>
      <c r="C649" s="4">
        <f>MONTH(H649)</f>
        <v>2</v>
      </c>
      <c r="D649" s="4">
        <f>DAY(H649)</f>
        <v>9</v>
      </c>
      <c r="E649" s="4" t="str">
        <f>TEXT(H649,"dddd")</f>
        <v>Thursday</v>
      </c>
      <c r="F649" s="4" t="str">
        <f t="shared" si="11"/>
        <v>February</v>
      </c>
      <c r="G649" s="4"/>
      <c r="H649" s="3">
        <v>44966</v>
      </c>
      <c r="I649" s="4" t="s">
        <v>683</v>
      </c>
      <c r="J649" s="4" t="s">
        <v>29</v>
      </c>
      <c r="K649" s="4">
        <v>34</v>
      </c>
      <c r="L649" s="4" t="str" cm="1">
        <f t="array" ref="L649">_xlfn.IFS(K649&gt;=50, "Senior", K649&gt;=30, "Adult", K649&lt;30, "Young Adult")</f>
        <v>Adult</v>
      </c>
      <c r="M649" s="4" t="s">
        <v>8</v>
      </c>
      <c r="N649" s="4">
        <v>2</v>
      </c>
      <c r="O649" s="5">
        <v>300</v>
      </c>
      <c r="P649">
        <f>N649*O649</f>
        <v>600</v>
      </c>
      <c r="Q649">
        <f>(P649*$U$4)</f>
        <v>9</v>
      </c>
    </row>
    <row r="650" spans="1:17">
      <c r="A650" s="2">
        <v>651</v>
      </c>
      <c r="B650" s="4">
        <f>YEAR(H650)</f>
        <v>2023</v>
      </c>
      <c r="C650" s="4">
        <f>MONTH(H650)</f>
        <v>5</v>
      </c>
      <c r="D650" s="4">
        <f>DAY(H650)</f>
        <v>27</v>
      </c>
      <c r="E650" s="4" t="str">
        <f>TEXT(H650,"dddd")</f>
        <v>Saturday</v>
      </c>
      <c r="F650" s="4" t="str">
        <f t="shared" si="11"/>
        <v>May</v>
      </c>
      <c r="G650" s="4"/>
      <c r="H650" s="3">
        <v>45073</v>
      </c>
      <c r="I650" s="4" t="s">
        <v>684</v>
      </c>
      <c r="J650" s="4" t="s">
        <v>27</v>
      </c>
      <c r="K650" s="4">
        <v>34</v>
      </c>
      <c r="L650" s="4" t="str" cm="1">
        <f t="array" ref="L650">_xlfn.IFS(K650&gt;=50, "Senior", K650&gt;=30, "Adult", K650&lt;30, "Young Adult")</f>
        <v>Adult</v>
      </c>
      <c r="M650" s="4" t="s">
        <v>8</v>
      </c>
      <c r="N650" s="4">
        <v>3</v>
      </c>
      <c r="O650" s="5">
        <v>50</v>
      </c>
      <c r="P650">
        <f>N650*O650</f>
        <v>150</v>
      </c>
      <c r="Q650">
        <f>(P650*$U$4)</f>
        <v>2.25</v>
      </c>
    </row>
    <row r="651" spans="1:17">
      <c r="A651" s="2">
        <v>652</v>
      </c>
      <c r="B651" s="4">
        <f>YEAR(H651)</f>
        <v>2023</v>
      </c>
      <c r="C651" s="4">
        <f>MONTH(H651)</f>
        <v>5</v>
      </c>
      <c r="D651" s="4">
        <f>DAY(H651)</f>
        <v>1</v>
      </c>
      <c r="E651" s="4" t="str">
        <f>TEXT(H651,"dddd")</f>
        <v>Monday</v>
      </c>
      <c r="F651" s="4" t="str">
        <f t="shared" si="11"/>
        <v>May</v>
      </c>
      <c r="G651" s="4"/>
      <c r="H651" s="3">
        <v>45047</v>
      </c>
      <c r="I651" s="4" t="s">
        <v>685</v>
      </c>
      <c r="J651" s="4" t="s">
        <v>29</v>
      </c>
      <c r="K651" s="4">
        <v>34</v>
      </c>
      <c r="L651" s="4" t="str" cm="1">
        <f t="array" ref="L651">_xlfn.IFS(K651&gt;=50, "Senior", K651&gt;=30, "Adult", K651&lt;30, "Young Adult")</f>
        <v>Adult</v>
      </c>
      <c r="M651" s="4" t="s">
        <v>3</v>
      </c>
      <c r="N651" s="4">
        <v>2</v>
      </c>
      <c r="O651" s="5">
        <v>50</v>
      </c>
      <c r="P651">
        <f>N651*O651</f>
        <v>100</v>
      </c>
      <c r="Q651">
        <f>(P651*$U$4)</f>
        <v>1.5</v>
      </c>
    </row>
    <row r="652" spans="1:17">
      <c r="A652" s="2">
        <v>653</v>
      </c>
      <c r="B652" s="4">
        <f>YEAR(H652)</f>
        <v>2023</v>
      </c>
      <c r="C652" s="4">
        <f>MONTH(H652)</f>
        <v>5</v>
      </c>
      <c r="D652" s="4">
        <f>DAY(H652)</f>
        <v>20</v>
      </c>
      <c r="E652" s="4" t="str">
        <f>TEXT(H652,"dddd")</f>
        <v>Saturday</v>
      </c>
      <c r="F652" s="4" t="str">
        <f t="shared" si="11"/>
        <v>May</v>
      </c>
      <c r="G652" s="4"/>
      <c r="H652" s="3">
        <v>45066</v>
      </c>
      <c r="I652" s="4" t="s">
        <v>686</v>
      </c>
      <c r="J652" s="4" t="s">
        <v>27</v>
      </c>
      <c r="K652" s="4">
        <v>34</v>
      </c>
      <c r="L652" s="4" t="str" cm="1">
        <f t="array" ref="L652">_xlfn.IFS(K652&gt;=50, "Senior", K652&gt;=30, "Adult", K652&lt;30, "Young Adult")</f>
        <v>Adult</v>
      </c>
      <c r="M652" s="4" t="s">
        <v>8</v>
      </c>
      <c r="N652" s="4">
        <v>3</v>
      </c>
      <c r="O652" s="5">
        <v>25</v>
      </c>
      <c r="P652">
        <f>N652*O652</f>
        <v>75</v>
      </c>
      <c r="Q652">
        <f>(P652*$U$4)</f>
        <v>1.125</v>
      </c>
    </row>
    <row r="653" spans="1:17">
      <c r="A653" s="2">
        <v>654</v>
      </c>
      <c r="B653" s="4">
        <f>YEAR(H653)</f>
        <v>2023</v>
      </c>
      <c r="C653" s="4">
        <f>MONTH(H653)</f>
        <v>6</v>
      </c>
      <c r="D653" s="4">
        <f>DAY(H653)</f>
        <v>21</v>
      </c>
      <c r="E653" s="4" t="str">
        <f>TEXT(H653,"dddd")</f>
        <v>Wednesday</v>
      </c>
      <c r="F653" s="4" t="str">
        <f t="shared" si="11"/>
        <v>June</v>
      </c>
      <c r="G653" s="4"/>
      <c r="H653" s="3">
        <v>45098</v>
      </c>
      <c r="I653" s="4" t="s">
        <v>687</v>
      </c>
      <c r="J653" s="4" t="s">
        <v>27</v>
      </c>
      <c r="K653" s="4">
        <v>34</v>
      </c>
      <c r="L653" s="4" t="str" cm="1">
        <f t="array" ref="L653">_xlfn.IFS(K653&gt;=50, "Senior", K653&gt;=30, "Adult", K653&lt;30, "Young Adult")</f>
        <v>Adult</v>
      </c>
      <c r="M653" s="4" t="s">
        <v>8</v>
      </c>
      <c r="N653" s="4">
        <v>3</v>
      </c>
      <c r="O653" s="5">
        <v>25</v>
      </c>
      <c r="P653">
        <f>N653*O653</f>
        <v>75</v>
      </c>
      <c r="Q653">
        <f>(P653*$U$4)</f>
        <v>1.125</v>
      </c>
    </row>
    <row r="654" spans="1:17">
      <c r="A654" s="2">
        <v>655</v>
      </c>
      <c r="B654" s="4">
        <f>YEAR(H654)</f>
        <v>2023</v>
      </c>
      <c r="C654" s="4">
        <f>MONTH(H654)</f>
        <v>6</v>
      </c>
      <c r="D654" s="4">
        <f>DAY(H654)</f>
        <v>13</v>
      </c>
      <c r="E654" s="4" t="str">
        <f>TEXT(H654,"dddd")</f>
        <v>Tuesday</v>
      </c>
      <c r="F654" s="4" t="str">
        <f t="shared" si="11"/>
        <v>June</v>
      </c>
      <c r="G654" s="4"/>
      <c r="H654" s="3">
        <v>45090</v>
      </c>
      <c r="I654" s="4" t="s">
        <v>688</v>
      </c>
      <c r="J654" s="4" t="s">
        <v>29</v>
      </c>
      <c r="K654" s="4">
        <v>34</v>
      </c>
      <c r="L654" s="4" t="str" cm="1">
        <f t="array" ref="L654">_xlfn.IFS(K654&gt;=50, "Senior", K654&gt;=30, "Adult", K654&lt;30, "Young Adult")</f>
        <v>Adult</v>
      </c>
      <c r="M654" s="4" t="s">
        <v>8</v>
      </c>
      <c r="N654" s="4">
        <v>1</v>
      </c>
      <c r="O654" s="5">
        <v>500</v>
      </c>
      <c r="P654">
        <f>N654*O654</f>
        <v>500</v>
      </c>
      <c r="Q654">
        <f>(P654*$U$4)</f>
        <v>7.5</v>
      </c>
    </row>
    <row r="655" spans="1:17">
      <c r="A655" s="2">
        <v>656</v>
      </c>
      <c r="B655" s="4">
        <f>YEAR(H655)</f>
        <v>2023</v>
      </c>
      <c r="C655" s="4">
        <f>MONTH(H655)</f>
        <v>10</v>
      </c>
      <c r="D655" s="4">
        <f>DAY(H655)</f>
        <v>4</v>
      </c>
      <c r="E655" s="4" t="str">
        <f>TEXT(H655,"dddd")</f>
        <v>Wednesday</v>
      </c>
      <c r="F655" s="4" t="str">
        <f t="shared" si="11"/>
        <v>October</v>
      </c>
      <c r="G655" s="4"/>
      <c r="H655" s="3">
        <v>45203</v>
      </c>
      <c r="I655" s="4" t="s">
        <v>689</v>
      </c>
      <c r="J655" s="4" t="s">
        <v>27</v>
      </c>
      <c r="K655" s="4">
        <v>34</v>
      </c>
      <c r="L655" s="4" t="str" cm="1">
        <f t="array" ref="L655">_xlfn.IFS(K655&gt;=50, "Senior", K655&gt;=30, "Adult", K655&lt;30, "Young Adult")</f>
        <v>Adult</v>
      </c>
      <c r="M655" s="4" t="s">
        <v>3</v>
      </c>
      <c r="N655" s="4">
        <v>3</v>
      </c>
      <c r="O655" s="5">
        <v>30</v>
      </c>
      <c r="P655">
        <f>N655*O655</f>
        <v>90</v>
      </c>
      <c r="Q655">
        <f>(P655*$U$4)</f>
        <v>1.3499999999999999</v>
      </c>
    </row>
    <row r="656" spans="1:17">
      <c r="A656" s="2">
        <v>657</v>
      </c>
      <c r="B656" s="4">
        <f>YEAR(H656)</f>
        <v>2023</v>
      </c>
      <c r="C656" s="4">
        <f>MONTH(H656)</f>
        <v>2</v>
      </c>
      <c r="D656" s="4">
        <f>DAY(H656)</f>
        <v>11</v>
      </c>
      <c r="E656" s="4" t="str">
        <f>TEXT(H656,"dddd")</f>
        <v>Saturday</v>
      </c>
      <c r="F656" s="4" t="str">
        <f t="shared" si="11"/>
        <v>February</v>
      </c>
      <c r="G656" s="4"/>
      <c r="H656" s="3">
        <v>44968</v>
      </c>
      <c r="I656" s="4" t="s">
        <v>690</v>
      </c>
      <c r="J656" s="4" t="s">
        <v>27</v>
      </c>
      <c r="K656" s="4">
        <v>34</v>
      </c>
      <c r="L656" s="4" t="str" cm="1">
        <f t="array" ref="L656">_xlfn.IFS(K656&gt;=50, "Senior", K656&gt;=30, "Adult", K656&lt;30, "Young Adult")</f>
        <v>Adult</v>
      </c>
      <c r="M656" s="4" t="s">
        <v>8</v>
      </c>
      <c r="N656" s="4">
        <v>1</v>
      </c>
      <c r="O656" s="5">
        <v>25</v>
      </c>
      <c r="P656">
        <f>N656*O656</f>
        <v>25</v>
      </c>
      <c r="Q656">
        <f>(P656*$U$4)</f>
        <v>0.375</v>
      </c>
    </row>
    <row r="657" spans="1:17">
      <c r="A657" s="2">
        <v>658</v>
      </c>
      <c r="B657" s="4">
        <f>YEAR(H657)</f>
        <v>2023</v>
      </c>
      <c r="C657" s="4">
        <f>MONTH(H657)</f>
        <v>3</v>
      </c>
      <c r="D657" s="4">
        <f>DAY(H657)</f>
        <v>12</v>
      </c>
      <c r="E657" s="4" t="str">
        <f>TEXT(H657,"dddd")</f>
        <v>Sunday</v>
      </c>
      <c r="F657" s="4" t="str">
        <f t="shared" si="11"/>
        <v>March</v>
      </c>
      <c r="G657" s="4"/>
      <c r="H657" s="3">
        <v>44997</v>
      </c>
      <c r="I657" s="4" t="s">
        <v>691</v>
      </c>
      <c r="J657" s="4" t="s">
        <v>27</v>
      </c>
      <c r="K657" s="4">
        <v>34</v>
      </c>
      <c r="L657" s="4" t="str" cm="1">
        <f t="array" ref="L657">_xlfn.IFS(K657&gt;=50, "Senior", K657&gt;=30, "Adult", K657&lt;30, "Young Adult")</f>
        <v>Adult</v>
      </c>
      <c r="M657" s="4" t="s">
        <v>8</v>
      </c>
      <c r="N657" s="4">
        <v>1</v>
      </c>
      <c r="O657" s="5">
        <v>25</v>
      </c>
      <c r="P657">
        <f>N657*O657</f>
        <v>25</v>
      </c>
      <c r="Q657">
        <f>(P657*$U$4)</f>
        <v>0.375</v>
      </c>
    </row>
    <row r="658" spans="1:17">
      <c r="A658" s="2">
        <v>659</v>
      </c>
      <c r="B658" s="4">
        <f>YEAR(H658)</f>
        <v>2023</v>
      </c>
      <c r="C658" s="4">
        <f>MONTH(H658)</f>
        <v>3</v>
      </c>
      <c r="D658" s="4">
        <f>DAY(H658)</f>
        <v>19</v>
      </c>
      <c r="E658" s="4" t="str">
        <f>TEXT(H658,"dddd")</f>
        <v>Sunday</v>
      </c>
      <c r="F658" s="4" t="str">
        <f t="shared" si="11"/>
        <v>March</v>
      </c>
      <c r="G658" s="4"/>
      <c r="H658" s="3">
        <v>45004</v>
      </c>
      <c r="I658" s="4" t="s">
        <v>692</v>
      </c>
      <c r="J658" s="4" t="s">
        <v>29</v>
      </c>
      <c r="K658" s="4">
        <v>34</v>
      </c>
      <c r="L658" s="4" t="str" cm="1">
        <f t="array" ref="L658">_xlfn.IFS(K658&gt;=50, "Senior", K658&gt;=30, "Adult", K658&lt;30, "Young Adult")</f>
        <v>Adult</v>
      </c>
      <c r="M658" s="4" t="s">
        <v>10</v>
      </c>
      <c r="N658" s="4">
        <v>1</v>
      </c>
      <c r="O658" s="5">
        <v>30</v>
      </c>
      <c r="P658">
        <f>N658*O658</f>
        <v>30</v>
      </c>
      <c r="Q658">
        <f>(P658*$U$4)</f>
        <v>0.44999999999999996</v>
      </c>
    </row>
    <row r="659" spans="1:17">
      <c r="A659" s="2">
        <v>660</v>
      </c>
      <c r="B659" s="4">
        <f>YEAR(H659)</f>
        <v>2023</v>
      </c>
      <c r="C659" s="4">
        <f>MONTH(H659)</f>
        <v>4</v>
      </c>
      <c r="D659" s="4">
        <f>DAY(H659)</f>
        <v>29</v>
      </c>
      <c r="E659" s="4" t="str">
        <f>TEXT(H659,"dddd")</f>
        <v>Saturday</v>
      </c>
      <c r="F659" s="4" t="str">
        <f t="shared" si="11"/>
        <v>April</v>
      </c>
      <c r="G659" s="4"/>
      <c r="H659" s="3">
        <v>45045</v>
      </c>
      <c r="I659" s="4" t="s">
        <v>693</v>
      </c>
      <c r="J659" s="4" t="s">
        <v>29</v>
      </c>
      <c r="K659" s="4">
        <v>34</v>
      </c>
      <c r="L659" s="4" t="str" cm="1">
        <f t="array" ref="L659">_xlfn.IFS(K659&gt;=50, "Senior", K659&gt;=30, "Adult", K659&lt;30, "Young Adult")</f>
        <v>Adult</v>
      </c>
      <c r="M659" s="4" t="s">
        <v>3</v>
      </c>
      <c r="N659" s="4">
        <v>2</v>
      </c>
      <c r="O659" s="5">
        <v>500</v>
      </c>
      <c r="P659">
        <f>N659*O659</f>
        <v>1000</v>
      </c>
      <c r="Q659">
        <f>(P659*$U$4)</f>
        <v>15</v>
      </c>
    </row>
    <row r="660" spans="1:17">
      <c r="A660" s="2">
        <v>661</v>
      </c>
      <c r="B660" s="4">
        <f>YEAR(H660)</f>
        <v>2023</v>
      </c>
      <c r="C660" s="4">
        <f>MONTH(H660)</f>
        <v>7</v>
      </c>
      <c r="D660" s="4">
        <f>DAY(H660)</f>
        <v>16</v>
      </c>
      <c r="E660" s="4" t="str">
        <f>TEXT(H660,"dddd")</f>
        <v>Sunday</v>
      </c>
      <c r="F660" s="4" t="str">
        <f t="shared" si="11"/>
        <v>July</v>
      </c>
      <c r="G660" s="4"/>
      <c r="H660" s="3">
        <v>45123</v>
      </c>
      <c r="I660" s="4" t="s">
        <v>694</v>
      </c>
      <c r="J660" s="4" t="s">
        <v>29</v>
      </c>
      <c r="K660" s="4">
        <v>34</v>
      </c>
      <c r="L660" s="4" t="str" cm="1">
        <f t="array" ref="L660">_xlfn.IFS(K660&gt;=50, "Senior", K660&gt;=30, "Adult", K660&lt;30, "Young Adult")</f>
        <v>Adult</v>
      </c>
      <c r="M660" s="4" t="s">
        <v>8</v>
      </c>
      <c r="N660" s="4">
        <v>4</v>
      </c>
      <c r="O660" s="5">
        <v>25</v>
      </c>
      <c r="P660">
        <f>N660*O660</f>
        <v>100</v>
      </c>
      <c r="Q660">
        <f>(P660*$U$4)</f>
        <v>1.5</v>
      </c>
    </row>
    <row r="661" spans="1:17">
      <c r="A661" s="2">
        <v>662</v>
      </c>
      <c r="B661" s="4">
        <f>YEAR(H661)</f>
        <v>2023</v>
      </c>
      <c r="C661" s="4">
        <f>MONTH(H661)</f>
        <v>12</v>
      </c>
      <c r="D661" s="4">
        <f>DAY(H661)</f>
        <v>22</v>
      </c>
      <c r="E661" s="4" t="str">
        <f>TEXT(H661,"dddd")</f>
        <v>Friday</v>
      </c>
      <c r="F661" s="4" t="str">
        <f t="shared" si="11"/>
        <v>December</v>
      </c>
      <c r="G661" s="4"/>
      <c r="H661" s="3">
        <v>45282</v>
      </c>
      <c r="I661" s="4" t="s">
        <v>695</v>
      </c>
      <c r="J661" s="4" t="s">
        <v>27</v>
      </c>
      <c r="K661" s="4">
        <v>34</v>
      </c>
      <c r="L661" s="4" t="str" cm="1">
        <f t="array" ref="L661">_xlfn.IFS(K661&gt;=50, "Senior", K661&gt;=30, "Adult", K661&lt;30, "Young Adult")</f>
        <v>Adult</v>
      </c>
      <c r="M661" s="4" t="s">
        <v>3</v>
      </c>
      <c r="N661" s="4">
        <v>2</v>
      </c>
      <c r="O661" s="5">
        <v>500</v>
      </c>
      <c r="P661">
        <f>N661*O661</f>
        <v>1000</v>
      </c>
      <c r="Q661">
        <f>(P661*$U$4)</f>
        <v>15</v>
      </c>
    </row>
    <row r="662" spans="1:17">
      <c r="A662" s="2">
        <v>663</v>
      </c>
      <c r="B662" s="4">
        <f>YEAR(H662)</f>
        <v>2023</v>
      </c>
      <c r="C662" s="4">
        <f>MONTH(H662)</f>
        <v>3</v>
      </c>
      <c r="D662" s="4">
        <f>DAY(H662)</f>
        <v>20</v>
      </c>
      <c r="E662" s="4" t="str">
        <f>TEXT(H662,"dddd")</f>
        <v>Monday</v>
      </c>
      <c r="F662" s="4" t="str">
        <f t="shared" si="11"/>
        <v>March</v>
      </c>
      <c r="G662" s="4"/>
      <c r="H662" s="3">
        <v>45005</v>
      </c>
      <c r="I662" s="4" t="s">
        <v>696</v>
      </c>
      <c r="J662" s="4" t="s">
        <v>27</v>
      </c>
      <c r="K662" s="4">
        <v>34</v>
      </c>
      <c r="L662" s="4" t="str" cm="1">
        <f t="array" ref="L662">_xlfn.IFS(K662&gt;=50, "Senior", K662&gt;=30, "Adult", K662&lt;30, "Young Adult")</f>
        <v>Adult</v>
      </c>
      <c r="M662" s="4" t="s">
        <v>8</v>
      </c>
      <c r="N662" s="4">
        <v>4</v>
      </c>
      <c r="O662" s="5">
        <v>300</v>
      </c>
      <c r="P662">
        <f>N662*O662</f>
        <v>1200</v>
      </c>
      <c r="Q662">
        <f>(P662*$U$4)</f>
        <v>18</v>
      </c>
    </row>
    <row r="663" spans="1:17">
      <c r="A663" s="2">
        <v>664</v>
      </c>
      <c r="B663" s="4">
        <f>YEAR(H663)</f>
        <v>2023</v>
      </c>
      <c r="C663" s="4">
        <f>MONTH(H663)</f>
        <v>12</v>
      </c>
      <c r="D663" s="4">
        <f>DAY(H663)</f>
        <v>28</v>
      </c>
      <c r="E663" s="4" t="str">
        <f>TEXT(H663,"dddd")</f>
        <v>Thursday</v>
      </c>
      <c r="F663" s="4" t="str">
        <f t="shared" si="11"/>
        <v>December</v>
      </c>
      <c r="G663" s="4"/>
      <c r="H663" s="3">
        <v>45288</v>
      </c>
      <c r="I663" s="4" t="s">
        <v>697</v>
      </c>
      <c r="J663" s="4" t="s">
        <v>29</v>
      </c>
      <c r="K663" s="4">
        <v>34</v>
      </c>
      <c r="L663" s="4" t="str" cm="1">
        <f t="array" ref="L663">_xlfn.IFS(K663&gt;=50, "Senior", K663&gt;=30, "Adult", K663&lt;30, "Young Adult")</f>
        <v>Adult</v>
      </c>
      <c r="M663" s="4" t="s">
        <v>8</v>
      </c>
      <c r="N663" s="4">
        <v>4</v>
      </c>
      <c r="O663" s="5">
        <v>500</v>
      </c>
      <c r="P663">
        <f>N663*O663</f>
        <v>2000</v>
      </c>
      <c r="Q663">
        <f>(P663*$U$4)</f>
        <v>30</v>
      </c>
    </row>
    <row r="664" spans="1:17">
      <c r="A664" s="2">
        <v>665</v>
      </c>
      <c r="B664" s="4">
        <f>YEAR(H664)</f>
        <v>2023</v>
      </c>
      <c r="C664" s="4">
        <f>MONTH(H664)</f>
        <v>4</v>
      </c>
      <c r="D664" s="4">
        <f>DAY(H664)</f>
        <v>20</v>
      </c>
      <c r="E664" s="4" t="str">
        <f>TEXT(H664,"dddd")</f>
        <v>Thursday</v>
      </c>
      <c r="F664" s="4" t="str">
        <f t="shared" si="11"/>
        <v>April</v>
      </c>
      <c r="G664" s="4"/>
      <c r="H664" s="3">
        <v>45036</v>
      </c>
      <c r="I664" s="4" t="s">
        <v>698</v>
      </c>
      <c r="J664" s="4" t="s">
        <v>27</v>
      </c>
      <c r="K664" s="4">
        <v>34</v>
      </c>
      <c r="L664" s="4" t="str" cm="1">
        <f t="array" ref="L664">_xlfn.IFS(K664&gt;=50, "Senior", K664&gt;=30, "Adult", K664&lt;30, "Young Adult")</f>
        <v>Adult</v>
      </c>
      <c r="M664" s="4" t="s">
        <v>8</v>
      </c>
      <c r="N664" s="4">
        <v>1</v>
      </c>
      <c r="O664" s="5">
        <v>50</v>
      </c>
      <c r="P664">
        <f>N664*O664</f>
        <v>50</v>
      </c>
      <c r="Q664">
        <f>(P664*$U$4)</f>
        <v>0.75</v>
      </c>
    </row>
    <row r="665" spans="1:17">
      <c r="A665" s="2">
        <v>666</v>
      </c>
      <c r="B665" s="4">
        <f>YEAR(H665)</f>
        <v>2023</v>
      </c>
      <c r="C665" s="4">
        <f>MONTH(H665)</f>
        <v>2</v>
      </c>
      <c r="D665" s="4">
        <f>DAY(H665)</f>
        <v>2</v>
      </c>
      <c r="E665" s="4" t="str">
        <f>TEXT(H665,"dddd")</f>
        <v>Thursday</v>
      </c>
      <c r="F665" s="4" t="str">
        <f t="shared" si="11"/>
        <v>February</v>
      </c>
      <c r="G665" s="4"/>
      <c r="H665" s="3">
        <v>44959</v>
      </c>
      <c r="I665" s="4" t="s">
        <v>699</v>
      </c>
      <c r="J665" s="4" t="s">
        <v>27</v>
      </c>
      <c r="K665" s="4">
        <v>34</v>
      </c>
      <c r="L665" s="4" t="str" cm="1">
        <f t="array" ref="L665">_xlfn.IFS(K665&gt;=50, "Senior", K665&gt;=30, "Adult", K665&lt;30, "Young Adult")</f>
        <v>Adult</v>
      </c>
      <c r="M665" s="4" t="s">
        <v>10</v>
      </c>
      <c r="N665" s="4">
        <v>3</v>
      </c>
      <c r="O665" s="5">
        <v>50</v>
      </c>
      <c r="P665">
        <f>N665*O665</f>
        <v>150</v>
      </c>
      <c r="Q665">
        <f>(P665*$U$4)</f>
        <v>2.25</v>
      </c>
    </row>
    <row r="666" spans="1:17">
      <c r="A666" s="2">
        <v>667</v>
      </c>
      <c r="B666" s="4">
        <f>YEAR(H666)</f>
        <v>2023</v>
      </c>
      <c r="C666" s="4">
        <f>MONTH(H666)</f>
        <v>8</v>
      </c>
      <c r="D666" s="4">
        <f>DAY(H666)</f>
        <v>1</v>
      </c>
      <c r="E666" s="4" t="str">
        <f>TEXT(H666,"dddd")</f>
        <v>Tuesday</v>
      </c>
      <c r="F666" s="4" t="str">
        <f t="shared" si="11"/>
        <v>August</v>
      </c>
      <c r="G666" s="4"/>
      <c r="H666" s="3">
        <v>45139</v>
      </c>
      <c r="I666" s="4" t="s">
        <v>700</v>
      </c>
      <c r="J666" s="4" t="s">
        <v>29</v>
      </c>
      <c r="K666" s="4">
        <v>34</v>
      </c>
      <c r="L666" s="4" t="str" cm="1">
        <f t="array" ref="L666">_xlfn.IFS(K666&gt;=50, "Senior", K666&gt;=30, "Adult", K666&lt;30, "Young Adult")</f>
        <v>Adult</v>
      </c>
      <c r="M666" s="4" t="s">
        <v>10</v>
      </c>
      <c r="N666" s="4">
        <v>1</v>
      </c>
      <c r="O666" s="5">
        <v>500</v>
      </c>
      <c r="P666">
        <f>N666*O666</f>
        <v>500</v>
      </c>
      <c r="Q666">
        <f>(P666*$U$4)</f>
        <v>7.5</v>
      </c>
    </row>
    <row r="667" spans="1:17">
      <c r="A667" s="2">
        <v>668</v>
      </c>
      <c r="B667" s="4">
        <f>YEAR(H667)</f>
        <v>2023</v>
      </c>
      <c r="C667" s="4">
        <f>MONTH(H667)</f>
        <v>7</v>
      </c>
      <c r="D667" s="4">
        <f>DAY(H667)</f>
        <v>28</v>
      </c>
      <c r="E667" s="4" t="str">
        <f>TEXT(H667,"dddd")</f>
        <v>Friday</v>
      </c>
      <c r="F667" s="4" t="str">
        <f t="shared" si="11"/>
        <v>July</v>
      </c>
      <c r="G667" s="4"/>
      <c r="H667" s="3">
        <v>45135</v>
      </c>
      <c r="I667" s="4" t="s">
        <v>701</v>
      </c>
      <c r="J667" s="4" t="s">
        <v>29</v>
      </c>
      <c r="K667" s="4">
        <v>34</v>
      </c>
      <c r="L667" s="4" t="str" cm="1">
        <f t="array" ref="L667">_xlfn.IFS(K667&gt;=50, "Senior", K667&gt;=30, "Adult", K667&lt;30, "Young Adult")</f>
        <v>Adult</v>
      </c>
      <c r="M667" s="4" t="s">
        <v>10</v>
      </c>
      <c r="N667" s="4">
        <v>3</v>
      </c>
      <c r="O667" s="5">
        <v>50</v>
      </c>
      <c r="P667">
        <f>N667*O667</f>
        <v>150</v>
      </c>
      <c r="Q667">
        <f>(P667*$U$4)</f>
        <v>2.25</v>
      </c>
    </row>
    <row r="668" spans="1:17">
      <c r="A668" s="2">
        <v>669</v>
      </c>
      <c r="B668" s="4">
        <f>YEAR(H668)</f>
        <v>2023</v>
      </c>
      <c r="C668" s="4">
        <f>MONTH(H668)</f>
        <v>6</v>
      </c>
      <c r="D668" s="4">
        <f>DAY(H668)</f>
        <v>19</v>
      </c>
      <c r="E668" s="4" t="str">
        <f>TEXT(H668,"dddd")</f>
        <v>Monday</v>
      </c>
      <c r="F668" s="4" t="str">
        <f t="shared" si="11"/>
        <v>June</v>
      </c>
      <c r="G668" s="4"/>
      <c r="H668" s="3">
        <v>45096</v>
      </c>
      <c r="I668" s="4" t="s">
        <v>702</v>
      </c>
      <c r="J668" s="4" t="s">
        <v>27</v>
      </c>
      <c r="K668" s="4">
        <v>34</v>
      </c>
      <c r="L668" s="4" t="str" cm="1">
        <f t="array" ref="L668">_xlfn.IFS(K668&gt;=50, "Senior", K668&gt;=30, "Adult", K668&lt;30, "Young Adult")</f>
        <v>Adult</v>
      </c>
      <c r="M668" s="4" t="s">
        <v>3</v>
      </c>
      <c r="N668" s="4">
        <v>4</v>
      </c>
      <c r="O668" s="5">
        <v>300</v>
      </c>
      <c r="P668">
        <f>N668*O668</f>
        <v>1200</v>
      </c>
      <c r="Q668">
        <f>(P668*$U$4)</f>
        <v>18</v>
      </c>
    </row>
    <row r="669" spans="1:17">
      <c r="A669" s="2">
        <v>670</v>
      </c>
      <c r="B669" s="4">
        <f>YEAR(H669)</f>
        <v>2023</v>
      </c>
      <c r="C669" s="4">
        <f>MONTH(H669)</f>
        <v>10</v>
      </c>
      <c r="D669" s="4">
        <f>DAY(H669)</f>
        <v>5</v>
      </c>
      <c r="E669" s="4" t="str">
        <f>TEXT(H669,"dddd")</f>
        <v>Thursday</v>
      </c>
      <c r="F669" s="4" t="str">
        <f t="shared" si="11"/>
        <v>October</v>
      </c>
      <c r="G669" s="4"/>
      <c r="H669" s="3">
        <v>45204</v>
      </c>
      <c r="I669" s="4" t="s">
        <v>703</v>
      </c>
      <c r="J669" s="4" t="s">
        <v>27</v>
      </c>
      <c r="K669" s="4">
        <v>34</v>
      </c>
      <c r="L669" s="4" t="str" cm="1">
        <f t="array" ref="L669">_xlfn.IFS(K669&gt;=50, "Senior", K669&gt;=30, "Adult", K669&lt;30, "Young Adult")</f>
        <v>Adult</v>
      </c>
      <c r="M669" s="4" t="s">
        <v>3</v>
      </c>
      <c r="N669" s="4">
        <v>1</v>
      </c>
      <c r="O669" s="5">
        <v>30</v>
      </c>
      <c r="P669">
        <f>N669*O669</f>
        <v>30</v>
      </c>
      <c r="Q669">
        <f>(P669*$U$4)</f>
        <v>0.44999999999999996</v>
      </c>
    </row>
    <row r="670" spans="1:17">
      <c r="A670" s="2">
        <v>671</v>
      </c>
      <c r="B670" s="4">
        <f>YEAR(H670)</f>
        <v>2023</v>
      </c>
      <c r="C670" s="4">
        <f>MONTH(H670)</f>
        <v>8</v>
      </c>
      <c r="D670" s="4">
        <f>DAY(H670)</f>
        <v>27</v>
      </c>
      <c r="E670" s="4" t="str">
        <f>TEXT(H670,"dddd")</f>
        <v>Sunday</v>
      </c>
      <c r="F670" s="4" t="str">
        <f t="shared" si="11"/>
        <v>August</v>
      </c>
      <c r="G670" s="4"/>
      <c r="H670" s="3">
        <v>45165</v>
      </c>
      <c r="I670" s="4" t="s">
        <v>704</v>
      </c>
      <c r="J670" s="4" t="s">
        <v>27</v>
      </c>
      <c r="K670" s="4">
        <v>34</v>
      </c>
      <c r="L670" s="4" t="str" cm="1">
        <f t="array" ref="L670">_xlfn.IFS(K670&gt;=50, "Senior", K670&gt;=30, "Adult", K670&lt;30, "Young Adult")</f>
        <v>Adult</v>
      </c>
      <c r="M670" s="4" t="s">
        <v>10</v>
      </c>
      <c r="N670" s="4">
        <v>3</v>
      </c>
      <c r="O670" s="5">
        <v>50</v>
      </c>
      <c r="P670">
        <f>N670*O670</f>
        <v>150</v>
      </c>
      <c r="Q670">
        <f>(P670*$U$4)</f>
        <v>2.25</v>
      </c>
    </row>
    <row r="671" spans="1:17">
      <c r="A671" s="2">
        <v>672</v>
      </c>
      <c r="B671" s="4">
        <f>YEAR(H671)</f>
        <v>2023</v>
      </c>
      <c r="C671" s="4">
        <f>MONTH(H671)</f>
        <v>8</v>
      </c>
      <c r="D671" s="4">
        <f>DAY(H671)</f>
        <v>1</v>
      </c>
      <c r="E671" s="4" t="str">
        <f>TEXT(H671,"dddd")</f>
        <v>Tuesday</v>
      </c>
      <c r="F671" s="4" t="str">
        <f t="shared" si="11"/>
        <v>August</v>
      </c>
      <c r="G671" s="4"/>
      <c r="H671" s="3">
        <v>45139</v>
      </c>
      <c r="I671" s="4" t="s">
        <v>705</v>
      </c>
      <c r="J671" s="4" t="s">
        <v>29</v>
      </c>
      <c r="K671" s="4">
        <v>34</v>
      </c>
      <c r="L671" s="4" t="str" cm="1">
        <f t="array" ref="L671">_xlfn.IFS(K671&gt;=50, "Senior", K671&gt;=30, "Adult", K671&lt;30, "Young Adult")</f>
        <v>Adult</v>
      </c>
      <c r="M671" s="4" t="s">
        <v>3</v>
      </c>
      <c r="N671" s="4">
        <v>2</v>
      </c>
      <c r="O671" s="5">
        <v>50</v>
      </c>
      <c r="P671">
        <f>N671*O671</f>
        <v>100</v>
      </c>
      <c r="Q671">
        <f>(P671*$U$4)</f>
        <v>1.5</v>
      </c>
    </row>
    <row r="672" spans="1:17">
      <c r="A672" s="2">
        <v>673</v>
      </c>
      <c r="B672" s="4">
        <f>YEAR(H672)</f>
        <v>2023</v>
      </c>
      <c r="C672" s="4">
        <f>MONTH(H672)</f>
        <v>2</v>
      </c>
      <c r="D672" s="4">
        <f>DAY(H672)</f>
        <v>1</v>
      </c>
      <c r="E672" s="4" t="str">
        <f>TEXT(H672,"dddd")</f>
        <v>Wednesday</v>
      </c>
      <c r="F672" s="4" t="str">
        <f t="shared" si="11"/>
        <v>February</v>
      </c>
      <c r="G672" s="4"/>
      <c r="H672" s="3">
        <v>44958</v>
      </c>
      <c r="I672" s="4" t="s">
        <v>706</v>
      </c>
      <c r="J672" s="4" t="s">
        <v>29</v>
      </c>
      <c r="K672" s="4">
        <v>34</v>
      </c>
      <c r="L672" s="4" t="str" cm="1">
        <f t="array" ref="L672">_xlfn.IFS(K672&gt;=50, "Senior", K672&gt;=30, "Adult", K672&lt;30, "Young Adult")</f>
        <v>Adult</v>
      </c>
      <c r="M672" s="4" t="s">
        <v>8</v>
      </c>
      <c r="N672" s="4">
        <v>3</v>
      </c>
      <c r="O672" s="5">
        <v>500</v>
      </c>
      <c r="P672">
        <f>N672*O672</f>
        <v>1500</v>
      </c>
      <c r="Q672">
        <f>(P672*$U$4)</f>
        <v>22.5</v>
      </c>
    </row>
    <row r="673" spans="1:17">
      <c r="A673" s="2">
        <v>674</v>
      </c>
      <c r="B673" s="4">
        <f>YEAR(H673)</f>
        <v>2023</v>
      </c>
      <c r="C673" s="4">
        <f>MONTH(H673)</f>
        <v>4</v>
      </c>
      <c r="D673" s="4">
        <f>DAY(H673)</f>
        <v>16</v>
      </c>
      <c r="E673" s="4" t="str">
        <f>TEXT(H673,"dddd")</f>
        <v>Sunday</v>
      </c>
      <c r="F673" s="4" t="str">
        <f t="shared" si="11"/>
        <v>April</v>
      </c>
      <c r="G673" s="4"/>
      <c r="H673" s="3">
        <v>45032</v>
      </c>
      <c r="I673" s="4" t="s">
        <v>707</v>
      </c>
      <c r="J673" s="4" t="s">
        <v>29</v>
      </c>
      <c r="K673" s="4">
        <v>34</v>
      </c>
      <c r="L673" s="4" t="str" cm="1">
        <f t="array" ref="L673">_xlfn.IFS(K673&gt;=50, "Senior", K673&gt;=30, "Adult", K673&lt;30, "Young Adult")</f>
        <v>Adult</v>
      </c>
      <c r="M673" s="4" t="s">
        <v>8</v>
      </c>
      <c r="N673" s="4">
        <v>1</v>
      </c>
      <c r="O673" s="5">
        <v>300</v>
      </c>
      <c r="P673">
        <f>N673*O673</f>
        <v>300</v>
      </c>
      <c r="Q673">
        <f>(P673*$U$4)</f>
        <v>4.5</v>
      </c>
    </row>
    <row r="674" spans="1:17">
      <c r="A674" s="2">
        <v>675</v>
      </c>
      <c r="B674" s="4">
        <f>YEAR(H674)</f>
        <v>2023</v>
      </c>
      <c r="C674" s="4">
        <f>MONTH(H674)</f>
        <v>8</v>
      </c>
      <c r="D674" s="4">
        <f>DAY(H674)</f>
        <v>4</v>
      </c>
      <c r="E674" s="4" t="str">
        <f>TEXT(H674,"dddd")</f>
        <v>Friday</v>
      </c>
      <c r="F674" s="4" t="str">
        <f t="shared" si="11"/>
        <v>August</v>
      </c>
      <c r="G674" s="4"/>
      <c r="H674" s="3">
        <v>45142</v>
      </c>
      <c r="I674" s="4" t="s">
        <v>708</v>
      </c>
      <c r="J674" s="4" t="s">
        <v>29</v>
      </c>
      <c r="K674" s="4">
        <v>34</v>
      </c>
      <c r="L674" s="4" t="str" cm="1">
        <f t="array" ref="L674">_xlfn.IFS(K674&gt;=50, "Senior", K674&gt;=30, "Adult", K674&lt;30, "Young Adult")</f>
        <v>Adult</v>
      </c>
      <c r="M674" s="4" t="s">
        <v>8</v>
      </c>
      <c r="N674" s="4">
        <v>2</v>
      </c>
      <c r="O674" s="5">
        <v>30</v>
      </c>
      <c r="P674">
        <f>N674*O674</f>
        <v>60</v>
      </c>
      <c r="Q674">
        <f>(P674*$U$4)</f>
        <v>0.89999999999999991</v>
      </c>
    </row>
    <row r="675" spans="1:17">
      <c r="A675" s="2">
        <v>676</v>
      </c>
      <c r="B675" s="4">
        <f>YEAR(H675)</f>
        <v>2023</v>
      </c>
      <c r="C675" s="4">
        <f>MONTH(H675)</f>
        <v>7</v>
      </c>
      <c r="D675" s="4">
        <f>DAY(H675)</f>
        <v>19</v>
      </c>
      <c r="E675" s="4" t="str">
        <f>TEXT(H675,"dddd")</f>
        <v>Wednesday</v>
      </c>
      <c r="F675" s="4" t="str">
        <f t="shared" si="11"/>
        <v>July</v>
      </c>
      <c r="G675" s="4"/>
      <c r="H675" s="3">
        <v>45126</v>
      </c>
      <c r="I675" s="4" t="s">
        <v>709</v>
      </c>
      <c r="J675" s="4" t="s">
        <v>27</v>
      </c>
      <c r="K675" s="4">
        <v>34</v>
      </c>
      <c r="L675" s="4" t="str" cm="1">
        <f t="array" ref="L675">_xlfn.IFS(K675&gt;=50, "Senior", K675&gt;=30, "Adult", K675&lt;30, "Young Adult")</f>
        <v>Adult</v>
      </c>
      <c r="M675" s="4" t="s">
        <v>10</v>
      </c>
      <c r="N675" s="4">
        <v>3</v>
      </c>
      <c r="O675" s="5">
        <v>500</v>
      </c>
      <c r="P675">
        <f>N675*O675</f>
        <v>1500</v>
      </c>
      <c r="Q675">
        <f>(P675*$U$4)</f>
        <v>22.5</v>
      </c>
    </row>
    <row r="676" spans="1:17">
      <c r="A676" s="2">
        <v>677</v>
      </c>
      <c r="B676" s="4">
        <f>YEAR(H676)</f>
        <v>2023</v>
      </c>
      <c r="C676" s="4">
        <f>MONTH(H676)</f>
        <v>10</v>
      </c>
      <c r="D676" s="4">
        <f>DAY(H676)</f>
        <v>27</v>
      </c>
      <c r="E676" s="4" t="str">
        <f>TEXT(H676,"dddd")</f>
        <v>Friday</v>
      </c>
      <c r="F676" s="4" t="str">
        <f t="shared" si="11"/>
        <v>October</v>
      </c>
      <c r="G676" s="4"/>
      <c r="H676" s="3">
        <v>45226</v>
      </c>
      <c r="I676" s="4" t="s">
        <v>710</v>
      </c>
      <c r="J676" s="4" t="s">
        <v>29</v>
      </c>
      <c r="K676" s="4">
        <v>33</v>
      </c>
      <c r="L676" s="4" t="str" cm="1">
        <f t="array" ref="L676">_xlfn.IFS(K676&gt;=50, "Senior", K676&gt;=30, "Adult", K676&lt;30, "Young Adult")</f>
        <v>Adult</v>
      </c>
      <c r="M676" s="4" t="s">
        <v>3</v>
      </c>
      <c r="N676" s="4">
        <v>3</v>
      </c>
      <c r="O676" s="5">
        <v>500</v>
      </c>
      <c r="P676">
        <f>N676*O676</f>
        <v>1500</v>
      </c>
      <c r="Q676">
        <f>(P676*$U$4)</f>
        <v>22.5</v>
      </c>
    </row>
    <row r="677" spans="1:17">
      <c r="A677" s="2">
        <v>678</v>
      </c>
      <c r="B677" s="4">
        <f>YEAR(H677)</f>
        <v>2023</v>
      </c>
      <c r="C677" s="4">
        <f>MONTH(H677)</f>
        <v>12</v>
      </c>
      <c r="D677" s="4">
        <f>DAY(H677)</f>
        <v>23</v>
      </c>
      <c r="E677" s="4" t="str">
        <f>TEXT(H677,"dddd")</f>
        <v>Saturday</v>
      </c>
      <c r="F677" s="4" t="str">
        <f t="shared" si="11"/>
        <v>December</v>
      </c>
      <c r="G677" s="4"/>
      <c r="H677" s="3">
        <v>45283</v>
      </c>
      <c r="I677" s="4" t="s">
        <v>711</v>
      </c>
      <c r="J677" s="4" t="s">
        <v>29</v>
      </c>
      <c r="K677" s="4">
        <v>33</v>
      </c>
      <c r="L677" s="4" t="str" cm="1">
        <f t="array" ref="L677">_xlfn.IFS(K677&gt;=50, "Senior", K677&gt;=30, "Adult", K677&lt;30, "Young Adult")</f>
        <v>Adult</v>
      </c>
      <c r="M677" s="4" t="s">
        <v>10</v>
      </c>
      <c r="N677" s="4">
        <v>3</v>
      </c>
      <c r="O677" s="5">
        <v>300</v>
      </c>
      <c r="P677">
        <f>N677*O677</f>
        <v>900</v>
      </c>
      <c r="Q677">
        <f>(P677*$U$4)</f>
        <v>13.5</v>
      </c>
    </row>
    <row r="678" spans="1:17">
      <c r="A678" s="2">
        <v>679</v>
      </c>
      <c r="B678" s="4">
        <f>YEAR(H678)</f>
        <v>2023</v>
      </c>
      <c r="C678" s="4">
        <f>MONTH(H678)</f>
        <v>1</v>
      </c>
      <c r="D678" s="4">
        <f>DAY(H678)</f>
        <v>11</v>
      </c>
      <c r="E678" s="4" t="str">
        <f>TEXT(H678,"dddd")</f>
        <v>Wednesday</v>
      </c>
      <c r="F678" s="4" t="str">
        <f t="shared" si="11"/>
        <v>January</v>
      </c>
      <c r="G678" s="4"/>
      <c r="H678" s="3">
        <v>44937</v>
      </c>
      <c r="I678" s="4" t="s">
        <v>712</v>
      </c>
      <c r="J678" s="4" t="s">
        <v>29</v>
      </c>
      <c r="K678" s="4">
        <v>33</v>
      </c>
      <c r="L678" s="4" t="str" cm="1">
        <f t="array" ref="L678">_xlfn.IFS(K678&gt;=50, "Senior", K678&gt;=30, "Adult", K678&lt;30, "Young Adult")</f>
        <v>Adult</v>
      </c>
      <c r="M678" s="4" t="s">
        <v>3</v>
      </c>
      <c r="N678" s="4">
        <v>3</v>
      </c>
      <c r="O678" s="5">
        <v>30</v>
      </c>
      <c r="P678">
        <f>N678*O678</f>
        <v>90</v>
      </c>
      <c r="Q678">
        <f>(P678*$U$4)</f>
        <v>1.3499999999999999</v>
      </c>
    </row>
    <row r="679" spans="1:17">
      <c r="A679" s="2">
        <v>680</v>
      </c>
      <c r="B679" s="4">
        <f>YEAR(H679)</f>
        <v>2023</v>
      </c>
      <c r="C679" s="4">
        <f>MONTH(H679)</f>
        <v>10</v>
      </c>
      <c r="D679" s="4">
        <f>DAY(H679)</f>
        <v>22</v>
      </c>
      <c r="E679" s="4" t="str">
        <f>TEXT(H679,"dddd")</f>
        <v>Sunday</v>
      </c>
      <c r="F679" s="4" t="str">
        <f t="shared" si="11"/>
        <v>October</v>
      </c>
      <c r="G679" s="4"/>
      <c r="H679" s="3">
        <v>45221</v>
      </c>
      <c r="I679" s="4" t="s">
        <v>713</v>
      </c>
      <c r="J679" s="4" t="s">
        <v>29</v>
      </c>
      <c r="K679" s="4">
        <v>33</v>
      </c>
      <c r="L679" s="4" t="str" cm="1">
        <f t="array" ref="L679">_xlfn.IFS(K679&gt;=50, "Senior", K679&gt;=30, "Adult", K679&lt;30, "Young Adult")</f>
        <v>Adult</v>
      </c>
      <c r="M679" s="4" t="s">
        <v>8</v>
      </c>
      <c r="N679" s="4">
        <v>3</v>
      </c>
      <c r="O679" s="5">
        <v>300</v>
      </c>
      <c r="P679">
        <f>N679*O679</f>
        <v>900</v>
      </c>
      <c r="Q679">
        <f>(P679*$U$4)</f>
        <v>13.5</v>
      </c>
    </row>
    <row r="680" spans="1:17">
      <c r="A680" s="2">
        <v>681</v>
      </c>
      <c r="B680" s="4">
        <f>YEAR(H680)</f>
        <v>2023</v>
      </c>
      <c r="C680" s="4">
        <f>MONTH(H680)</f>
        <v>7</v>
      </c>
      <c r="D680" s="4">
        <f>DAY(H680)</f>
        <v>14</v>
      </c>
      <c r="E680" s="4" t="str">
        <f>TEXT(H680,"dddd")</f>
        <v>Friday</v>
      </c>
      <c r="F680" s="4" t="str">
        <f t="shared" si="11"/>
        <v>July</v>
      </c>
      <c r="G680" s="4"/>
      <c r="H680" s="3">
        <v>45121</v>
      </c>
      <c r="I680" s="4" t="s">
        <v>714</v>
      </c>
      <c r="J680" s="4" t="s">
        <v>29</v>
      </c>
      <c r="K680" s="4">
        <v>33</v>
      </c>
      <c r="L680" s="4" t="str" cm="1">
        <f t="array" ref="L680">_xlfn.IFS(K680&gt;=50, "Senior", K680&gt;=30, "Adult", K680&lt;30, "Young Adult")</f>
        <v>Adult</v>
      </c>
      <c r="M680" s="4" t="s">
        <v>10</v>
      </c>
      <c r="N680" s="4">
        <v>2</v>
      </c>
      <c r="O680" s="5">
        <v>30</v>
      </c>
      <c r="P680">
        <f>N680*O680</f>
        <v>60</v>
      </c>
      <c r="Q680">
        <f>(P680*$U$4)</f>
        <v>0.89999999999999991</v>
      </c>
    </row>
    <row r="681" spans="1:17">
      <c r="A681" s="2">
        <v>682</v>
      </c>
      <c r="B681" s="4">
        <f>YEAR(H681)</f>
        <v>2023</v>
      </c>
      <c r="C681" s="4">
        <f>MONTH(H681)</f>
        <v>9</v>
      </c>
      <c r="D681" s="4">
        <f>DAY(H681)</f>
        <v>2</v>
      </c>
      <c r="E681" s="4" t="str">
        <f>TEXT(H681,"dddd")</f>
        <v>Saturday</v>
      </c>
      <c r="F681" s="4" t="str">
        <f t="shared" si="11"/>
        <v>September</v>
      </c>
      <c r="G681" s="4"/>
      <c r="H681" s="3">
        <v>45171</v>
      </c>
      <c r="I681" s="4" t="s">
        <v>715</v>
      </c>
      <c r="J681" s="4" t="s">
        <v>27</v>
      </c>
      <c r="K681" s="4">
        <v>33</v>
      </c>
      <c r="L681" s="4" t="str" cm="1">
        <f t="array" ref="L681">_xlfn.IFS(K681&gt;=50, "Senior", K681&gt;=30, "Adult", K681&lt;30, "Young Adult")</f>
        <v>Adult</v>
      </c>
      <c r="M681" s="4" t="s">
        <v>3</v>
      </c>
      <c r="N681" s="4">
        <v>4</v>
      </c>
      <c r="O681" s="5">
        <v>300</v>
      </c>
      <c r="P681">
        <f>N681*O681</f>
        <v>1200</v>
      </c>
      <c r="Q681">
        <f>(P681*$U$4)</f>
        <v>18</v>
      </c>
    </row>
    <row r="682" spans="1:17">
      <c r="A682" s="2">
        <v>683</v>
      </c>
      <c r="B682" s="4">
        <f>YEAR(H682)</f>
        <v>2023</v>
      </c>
      <c r="C682" s="4">
        <f>MONTH(H682)</f>
        <v>1</v>
      </c>
      <c r="D682" s="4">
        <f>DAY(H682)</f>
        <v>4</v>
      </c>
      <c r="E682" s="4" t="str">
        <f>TEXT(H682,"dddd")</f>
        <v>Wednesday</v>
      </c>
      <c r="F682" s="4" t="str">
        <f t="shared" si="11"/>
        <v>January</v>
      </c>
      <c r="G682" s="4"/>
      <c r="H682" s="3">
        <v>44930</v>
      </c>
      <c r="I682" s="4" t="s">
        <v>716</v>
      </c>
      <c r="J682" s="4" t="s">
        <v>27</v>
      </c>
      <c r="K682" s="4">
        <v>33</v>
      </c>
      <c r="L682" s="4" t="str" cm="1">
        <f t="array" ref="L682">_xlfn.IFS(K682&gt;=50, "Senior", K682&gt;=30, "Adult", K682&lt;30, "Young Adult")</f>
        <v>Adult</v>
      </c>
      <c r="M682" s="4" t="s">
        <v>3</v>
      </c>
      <c r="N682" s="4">
        <v>2</v>
      </c>
      <c r="O682" s="5">
        <v>500</v>
      </c>
      <c r="P682">
        <f>N682*O682</f>
        <v>1000</v>
      </c>
      <c r="Q682">
        <f>(P682*$U$4)</f>
        <v>15</v>
      </c>
    </row>
    <row r="683" spans="1:17">
      <c r="A683" s="2">
        <v>684</v>
      </c>
      <c r="B683" s="4">
        <f>YEAR(H683)</f>
        <v>2023</v>
      </c>
      <c r="C683" s="4">
        <f>MONTH(H683)</f>
        <v>6</v>
      </c>
      <c r="D683" s="4">
        <f>DAY(H683)</f>
        <v>30</v>
      </c>
      <c r="E683" s="4" t="str">
        <f>TEXT(H683,"dddd")</f>
        <v>Friday</v>
      </c>
      <c r="F683" s="4" t="str">
        <f t="shared" si="11"/>
        <v>June</v>
      </c>
      <c r="G683" s="4"/>
      <c r="H683" s="3">
        <v>45107</v>
      </c>
      <c r="I683" s="4" t="s">
        <v>717</v>
      </c>
      <c r="J683" s="4" t="s">
        <v>29</v>
      </c>
      <c r="K683" s="4">
        <v>33</v>
      </c>
      <c r="L683" s="4" t="str" cm="1">
        <f t="array" ref="L683">_xlfn.IFS(K683&gt;=50, "Senior", K683&gt;=30, "Adult", K683&lt;30, "Young Adult")</f>
        <v>Adult</v>
      </c>
      <c r="M683" s="4" t="s">
        <v>8</v>
      </c>
      <c r="N683" s="4">
        <v>2</v>
      </c>
      <c r="O683" s="5">
        <v>500</v>
      </c>
      <c r="P683">
        <f>N683*O683</f>
        <v>1000</v>
      </c>
      <c r="Q683">
        <f>(P683*$U$4)</f>
        <v>15</v>
      </c>
    </row>
    <row r="684" spans="1:17">
      <c r="A684" s="2">
        <v>685</v>
      </c>
      <c r="B684" s="4">
        <f>YEAR(H684)</f>
        <v>2023</v>
      </c>
      <c r="C684" s="4">
        <f>MONTH(H684)</f>
        <v>6</v>
      </c>
      <c r="D684" s="4">
        <f>DAY(H684)</f>
        <v>2</v>
      </c>
      <c r="E684" s="4" t="str">
        <f>TEXT(H684,"dddd")</f>
        <v>Friday</v>
      </c>
      <c r="F684" s="4" t="str">
        <f t="shared" si="11"/>
        <v>June</v>
      </c>
      <c r="G684" s="4"/>
      <c r="H684" s="3">
        <v>45079</v>
      </c>
      <c r="I684" s="4" t="s">
        <v>718</v>
      </c>
      <c r="J684" s="4" t="s">
        <v>27</v>
      </c>
      <c r="K684" s="4">
        <v>33</v>
      </c>
      <c r="L684" s="4" t="str" cm="1">
        <f t="array" ref="L684">_xlfn.IFS(K684&gt;=50, "Senior", K684&gt;=30, "Adult", K684&lt;30, "Young Adult")</f>
        <v>Adult</v>
      </c>
      <c r="M684" s="4" t="s">
        <v>10</v>
      </c>
      <c r="N684" s="4">
        <v>2</v>
      </c>
      <c r="O684" s="5">
        <v>25</v>
      </c>
      <c r="P684">
        <f>N684*O684</f>
        <v>50</v>
      </c>
      <c r="Q684">
        <f>(P684*$U$4)</f>
        <v>0.75</v>
      </c>
    </row>
    <row r="685" spans="1:17">
      <c r="A685" s="2">
        <v>686</v>
      </c>
      <c r="B685" s="4">
        <f>YEAR(H685)</f>
        <v>2023</v>
      </c>
      <c r="C685" s="4">
        <f>MONTH(H685)</f>
        <v>7</v>
      </c>
      <c r="D685" s="4">
        <f>DAY(H685)</f>
        <v>19</v>
      </c>
      <c r="E685" s="4" t="str">
        <f>TEXT(H685,"dddd")</f>
        <v>Wednesday</v>
      </c>
      <c r="F685" s="4" t="str">
        <f t="shared" si="11"/>
        <v>July</v>
      </c>
      <c r="G685" s="4"/>
      <c r="H685" s="3">
        <v>45126</v>
      </c>
      <c r="I685" s="4" t="s">
        <v>719</v>
      </c>
      <c r="J685" s="4" t="s">
        <v>29</v>
      </c>
      <c r="K685" s="4">
        <v>33</v>
      </c>
      <c r="L685" s="4" t="str" cm="1">
        <f t="array" ref="L685">_xlfn.IFS(K685&gt;=50, "Senior", K685&gt;=30, "Adult", K685&lt;30, "Young Adult")</f>
        <v>Adult</v>
      </c>
      <c r="M685" s="4" t="s">
        <v>10</v>
      </c>
      <c r="N685" s="4">
        <v>4</v>
      </c>
      <c r="O685" s="5">
        <v>50</v>
      </c>
      <c r="P685">
        <f>N685*O685</f>
        <v>200</v>
      </c>
      <c r="Q685">
        <f>(P685*$U$4)</f>
        <v>3</v>
      </c>
    </row>
    <row r="686" spans="1:17">
      <c r="A686" s="2">
        <v>687</v>
      </c>
      <c r="B686" s="4">
        <f>YEAR(H686)</f>
        <v>2023</v>
      </c>
      <c r="C686" s="4">
        <f>MONTH(H686)</f>
        <v>8</v>
      </c>
      <c r="D686" s="4">
        <f>DAY(H686)</f>
        <v>3</v>
      </c>
      <c r="E686" s="4" t="str">
        <f>TEXT(H686,"dddd")</f>
        <v>Thursday</v>
      </c>
      <c r="F686" s="4" t="str">
        <f t="shared" si="11"/>
        <v>August</v>
      </c>
      <c r="G686" s="4"/>
      <c r="H686" s="3">
        <v>45141</v>
      </c>
      <c r="I686" s="4" t="s">
        <v>720</v>
      </c>
      <c r="J686" s="4" t="s">
        <v>29</v>
      </c>
      <c r="K686" s="4">
        <v>32</v>
      </c>
      <c r="L686" s="4" t="str" cm="1">
        <f t="array" ref="L686">_xlfn.IFS(K686&gt;=50, "Senior", K686&gt;=30, "Adult", K686&lt;30, "Young Adult")</f>
        <v>Adult</v>
      </c>
      <c r="M686" s="4" t="s">
        <v>10</v>
      </c>
      <c r="N686" s="4">
        <v>1</v>
      </c>
      <c r="O686" s="5">
        <v>300</v>
      </c>
      <c r="P686">
        <f>N686*O686</f>
        <v>300</v>
      </c>
      <c r="Q686">
        <f>(P686*$U$4)</f>
        <v>4.5</v>
      </c>
    </row>
    <row r="687" spans="1:17">
      <c r="A687" s="2">
        <v>688</v>
      </c>
      <c r="B687" s="4">
        <f>YEAR(H687)</f>
        <v>2023</v>
      </c>
      <c r="C687" s="4">
        <f>MONTH(H687)</f>
        <v>10</v>
      </c>
      <c r="D687" s="4">
        <f>DAY(H687)</f>
        <v>3</v>
      </c>
      <c r="E687" s="4" t="str">
        <f>TEXT(H687,"dddd")</f>
        <v>Tuesday</v>
      </c>
      <c r="F687" s="4" t="str">
        <f t="shared" si="11"/>
        <v>October</v>
      </c>
      <c r="G687" s="4"/>
      <c r="H687" s="3">
        <v>45202</v>
      </c>
      <c r="I687" s="4" t="s">
        <v>721</v>
      </c>
      <c r="J687" s="4" t="s">
        <v>27</v>
      </c>
      <c r="K687" s="4">
        <v>32</v>
      </c>
      <c r="L687" s="4" t="str" cm="1">
        <f t="array" ref="L687">_xlfn.IFS(K687&gt;=50, "Senior", K687&gt;=30, "Adult", K687&lt;30, "Young Adult")</f>
        <v>Adult</v>
      </c>
      <c r="M687" s="4" t="s">
        <v>8</v>
      </c>
      <c r="N687" s="4">
        <v>4</v>
      </c>
      <c r="O687" s="5">
        <v>25</v>
      </c>
      <c r="P687">
        <f>N687*O687</f>
        <v>100</v>
      </c>
      <c r="Q687">
        <f>(P687*$U$4)</f>
        <v>1.5</v>
      </c>
    </row>
    <row r="688" spans="1:17">
      <c r="A688" s="2">
        <v>689</v>
      </c>
      <c r="B688" s="4">
        <f>YEAR(H688)</f>
        <v>2023</v>
      </c>
      <c r="C688" s="4">
        <f>MONTH(H688)</f>
        <v>10</v>
      </c>
      <c r="D688" s="4">
        <f>DAY(H688)</f>
        <v>7</v>
      </c>
      <c r="E688" s="4" t="str">
        <f>TEXT(H688,"dddd")</f>
        <v>Saturday</v>
      </c>
      <c r="F688" s="4" t="str">
        <f t="shared" si="11"/>
        <v>October</v>
      </c>
      <c r="G688" s="4"/>
      <c r="H688" s="3">
        <v>45206</v>
      </c>
      <c r="I688" s="4" t="s">
        <v>722</v>
      </c>
      <c r="J688" s="4" t="s">
        <v>27</v>
      </c>
      <c r="K688" s="4">
        <v>32</v>
      </c>
      <c r="L688" s="4" t="str" cm="1">
        <f t="array" ref="L688">_xlfn.IFS(K688&gt;=50, "Senior", K688&gt;=30, "Adult", K688&lt;30, "Young Adult")</f>
        <v>Adult</v>
      </c>
      <c r="M688" s="4" t="s">
        <v>10</v>
      </c>
      <c r="N688" s="4">
        <v>2</v>
      </c>
      <c r="O688" s="5">
        <v>50</v>
      </c>
      <c r="P688">
        <f>N688*O688</f>
        <v>100</v>
      </c>
      <c r="Q688">
        <f>(P688*$U$4)</f>
        <v>1.5</v>
      </c>
    </row>
    <row r="689" spans="1:17">
      <c r="A689" s="2">
        <v>690</v>
      </c>
      <c r="B689" s="4">
        <f>YEAR(H689)</f>
        <v>2023</v>
      </c>
      <c r="C689" s="4">
        <f>MONTH(H689)</f>
        <v>11</v>
      </c>
      <c r="D689" s="4">
        <f>DAY(H689)</f>
        <v>5</v>
      </c>
      <c r="E689" s="4" t="str">
        <f>TEXT(H689,"dddd")</f>
        <v>Sunday</v>
      </c>
      <c r="F689" s="4" t="str">
        <f t="shared" si="11"/>
        <v>November</v>
      </c>
      <c r="G689" s="4"/>
      <c r="H689" s="3">
        <v>45235</v>
      </c>
      <c r="I689" s="4" t="s">
        <v>723</v>
      </c>
      <c r="J689" s="4" t="s">
        <v>29</v>
      </c>
      <c r="K689" s="4">
        <v>32</v>
      </c>
      <c r="L689" s="4" t="str" cm="1">
        <f t="array" ref="L689">_xlfn.IFS(K689&gt;=50, "Senior", K689&gt;=30, "Adult", K689&lt;30, "Young Adult")</f>
        <v>Adult</v>
      </c>
      <c r="M689" s="4" t="s">
        <v>8</v>
      </c>
      <c r="N689" s="4">
        <v>3</v>
      </c>
      <c r="O689" s="5">
        <v>300</v>
      </c>
      <c r="P689">
        <f>N689*O689</f>
        <v>900</v>
      </c>
      <c r="Q689">
        <f>(P689*$U$4)</f>
        <v>13.5</v>
      </c>
    </row>
    <row r="690" spans="1:17">
      <c r="A690" s="2">
        <v>691</v>
      </c>
      <c r="B690" s="4">
        <f>YEAR(H690)</f>
        <v>2023</v>
      </c>
      <c r="C690" s="4">
        <f>MONTH(H690)</f>
        <v>4</v>
      </c>
      <c r="D690" s="4">
        <f>DAY(H690)</f>
        <v>23</v>
      </c>
      <c r="E690" s="4" t="str">
        <f>TEXT(H690,"dddd")</f>
        <v>Sunday</v>
      </c>
      <c r="F690" s="4" t="str">
        <f t="shared" si="11"/>
        <v>April</v>
      </c>
      <c r="G690" s="4"/>
      <c r="H690" s="3">
        <v>45039</v>
      </c>
      <c r="I690" s="4" t="s">
        <v>724</v>
      </c>
      <c r="J690" s="4" t="s">
        <v>29</v>
      </c>
      <c r="K690" s="4">
        <v>32</v>
      </c>
      <c r="L690" s="4" t="str" cm="1">
        <f t="array" ref="L690">_xlfn.IFS(K690&gt;=50, "Senior", K690&gt;=30, "Adult", K690&lt;30, "Young Adult")</f>
        <v>Adult</v>
      </c>
      <c r="M690" s="4" t="s">
        <v>8</v>
      </c>
      <c r="N690" s="4">
        <v>3</v>
      </c>
      <c r="O690" s="5">
        <v>30</v>
      </c>
      <c r="P690">
        <f>N690*O690</f>
        <v>90</v>
      </c>
      <c r="Q690">
        <f>(P690*$U$4)</f>
        <v>1.3499999999999999</v>
      </c>
    </row>
    <row r="691" spans="1:17">
      <c r="A691" s="2">
        <v>692</v>
      </c>
      <c r="B691" s="4">
        <f>YEAR(H691)</f>
        <v>2023</v>
      </c>
      <c r="C691" s="4">
        <f>MONTH(H691)</f>
        <v>9</v>
      </c>
      <c r="D691" s="4">
        <f>DAY(H691)</f>
        <v>7</v>
      </c>
      <c r="E691" s="4" t="str">
        <f>TEXT(H691,"dddd")</f>
        <v>Thursday</v>
      </c>
      <c r="F691" s="4" t="str">
        <f t="shared" si="11"/>
        <v>September</v>
      </c>
      <c r="G691" s="4"/>
      <c r="H691" s="3">
        <v>45176</v>
      </c>
      <c r="I691" s="4" t="s">
        <v>725</v>
      </c>
      <c r="J691" s="4" t="s">
        <v>29</v>
      </c>
      <c r="K691" s="4">
        <v>32</v>
      </c>
      <c r="L691" s="4" t="str" cm="1">
        <f t="array" ref="L691">_xlfn.IFS(K691&gt;=50, "Senior", K691&gt;=30, "Adult", K691&lt;30, "Young Adult")</f>
        <v>Adult</v>
      </c>
      <c r="M691" s="4" t="s">
        <v>8</v>
      </c>
      <c r="N691" s="4">
        <v>2</v>
      </c>
      <c r="O691" s="5">
        <v>50</v>
      </c>
      <c r="P691">
        <f>N691*O691</f>
        <v>100</v>
      </c>
      <c r="Q691">
        <f>(P691*$U$4)</f>
        <v>1.5</v>
      </c>
    </row>
    <row r="692" spans="1:17">
      <c r="A692" s="2">
        <v>693</v>
      </c>
      <c r="B692" s="4">
        <f>YEAR(H692)</f>
        <v>2023</v>
      </c>
      <c r="C692" s="4">
        <f>MONTH(H692)</f>
        <v>4</v>
      </c>
      <c r="D692" s="4">
        <f>DAY(H692)</f>
        <v>23</v>
      </c>
      <c r="E692" s="4" t="str">
        <f>TEXT(H692,"dddd")</f>
        <v>Sunday</v>
      </c>
      <c r="F692" s="4" t="str">
        <f t="shared" si="11"/>
        <v>April</v>
      </c>
      <c r="G692" s="4"/>
      <c r="H692" s="3">
        <v>45039</v>
      </c>
      <c r="I692" s="4" t="s">
        <v>726</v>
      </c>
      <c r="J692" s="4" t="s">
        <v>27</v>
      </c>
      <c r="K692" s="4">
        <v>32</v>
      </c>
      <c r="L692" s="4" t="str" cm="1">
        <f t="array" ref="L692">_xlfn.IFS(K692&gt;=50, "Senior", K692&gt;=30, "Adult", K692&lt;30, "Young Adult")</f>
        <v>Adult</v>
      </c>
      <c r="M692" s="4" t="s">
        <v>3</v>
      </c>
      <c r="N692" s="4">
        <v>3</v>
      </c>
      <c r="O692" s="5">
        <v>500</v>
      </c>
      <c r="P692">
        <f>N692*O692</f>
        <v>1500</v>
      </c>
      <c r="Q692">
        <f>(P692*$U$4)</f>
        <v>22.5</v>
      </c>
    </row>
    <row r="693" spans="1:17">
      <c r="A693" s="2">
        <v>694</v>
      </c>
      <c r="B693" s="4">
        <f>YEAR(H693)</f>
        <v>2023</v>
      </c>
      <c r="C693" s="4">
        <f>MONTH(H693)</f>
        <v>5</v>
      </c>
      <c r="D693" s="4">
        <f>DAY(H693)</f>
        <v>20</v>
      </c>
      <c r="E693" s="4" t="str">
        <f>TEXT(H693,"dddd")</f>
        <v>Saturday</v>
      </c>
      <c r="F693" s="4" t="str">
        <f t="shared" si="11"/>
        <v>May</v>
      </c>
      <c r="G693" s="4"/>
      <c r="H693" s="3">
        <v>45066</v>
      </c>
      <c r="I693" s="4" t="s">
        <v>727</v>
      </c>
      <c r="J693" s="4" t="s">
        <v>29</v>
      </c>
      <c r="K693" s="4">
        <v>32</v>
      </c>
      <c r="L693" s="4" t="str" cm="1">
        <f t="array" ref="L693">_xlfn.IFS(K693&gt;=50, "Senior", K693&gt;=30, "Adult", K693&lt;30, "Young Adult")</f>
        <v>Adult</v>
      </c>
      <c r="M693" s="4" t="s">
        <v>10</v>
      </c>
      <c r="N693" s="4">
        <v>2</v>
      </c>
      <c r="O693" s="5">
        <v>25</v>
      </c>
      <c r="P693">
        <f>N693*O693</f>
        <v>50</v>
      </c>
      <c r="Q693">
        <f>(P693*$U$4)</f>
        <v>0.75</v>
      </c>
    </row>
    <row r="694" spans="1:17">
      <c r="A694" s="2">
        <v>695</v>
      </c>
      <c r="B694" s="4">
        <f>YEAR(H694)</f>
        <v>2023</v>
      </c>
      <c r="C694" s="4">
        <f>MONTH(H694)</f>
        <v>8</v>
      </c>
      <c r="D694" s="4">
        <f>DAY(H694)</f>
        <v>12</v>
      </c>
      <c r="E694" s="4" t="str">
        <f>TEXT(H694,"dddd")</f>
        <v>Saturday</v>
      </c>
      <c r="F694" s="4" t="str">
        <f t="shared" si="11"/>
        <v>August</v>
      </c>
      <c r="G694" s="4"/>
      <c r="H694" s="3">
        <v>45150</v>
      </c>
      <c r="I694" s="4" t="s">
        <v>728</v>
      </c>
      <c r="J694" s="4" t="s">
        <v>29</v>
      </c>
      <c r="K694" s="4">
        <v>32</v>
      </c>
      <c r="L694" s="4" t="str" cm="1">
        <f t="array" ref="L694">_xlfn.IFS(K694&gt;=50, "Senior", K694&gt;=30, "Adult", K694&lt;30, "Young Adult")</f>
        <v>Adult</v>
      </c>
      <c r="M694" s="4" t="s">
        <v>10</v>
      </c>
      <c r="N694" s="4">
        <v>3</v>
      </c>
      <c r="O694" s="5">
        <v>50</v>
      </c>
      <c r="P694">
        <f>N694*O694</f>
        <v>150</v>
      </c>
      <c r="Q694">
        <f>(P694*$U$4)</f>
        <v>2.25</v>
      </c>
    </row>
    <row r="695" spans="1:17">
      <c r="A695" s="2">
        <v>696</v>
      </c>
      <c r="B695" s="4">
        <f>YEAR(H695)</f>
        <v>2023</v>
      </c>
      <c r="C695" s="4">
        <f>MONTH(H695)</f>
        <v>9</v>
      </c>
      <c r="D695" s="4">
        <f>DAY(H695)</f>
        <v>6</v>
      </c>
      <c r="E695" s="4" t="str">
        <f>TEXT(H695,"dddd")</f>
        <v>Wednesday</v>
      </c>
      <c r="F695" s="4" t="str">
        <f t="shared" si="11"/>
        <v>September</v>
      </c>
      <c r="G695" s="4"/>
      <c r="H695" s="3">
        <v>45175</v>
      </c>
      <c r="I695" s="4" t="s">
        <v>729</v>
      </c>
      <c r="J695" s="4" t="s">
        <v>29</v>
      </c>
      <c r="K695" s="4">
        <v>32</v>
      </c>
      <c r="L695" s="4" t="str" cm="1">
        <f t="array" ref="L695">_xlfn.IFS(K695&gt;=50, "Senior", K695&gt;=30, "Adult", K695&lt;30, "Young Adult")</f>
        <v>Adult</v>
      </c>
      <c r="M695" s="4" t="s">
        <v>8</v>
      </c>
      <c r="N695" s="4">
        <v>4</v>
      </c>
      <c r="O695" s="5">
        <v>50</v>
      </c>
      <c r="P695">
        <f>N695*O695</f>
        <v>200</v>
      </c>
      <c r="Q695">
        <f>(P695*$U$4)</f>
        <v>3</v>
      </c>
    </row>
    <row r="696" spans="1:17">
      <c r="A696" s="2">
        <v>697</v>
      </c>
      <c r="B696" s="4">
        <f>YEAR(H696)</f>
        <v>2023</v>
      </c>
      <c r="C696" s="4">
        <f>MONTH(H696)</f>
        <v>1</v>
      </c>
      <c r="D696" s="4">
        <f>DAY(H696)</f>
        <v>15</v>
      </c>
      <c r="E696" s="4" t="str">
        <f>TEXT(H696,"dddd")</f>
        <v>Sunday</v>
      </c>
      <c r="F696" s="4" t="str">
        <f t="shared" si="11"/>
        <v>January</v>
      </c>
      <c r="G696" s="4"/>
      <c r="H696" s="3">
        <v>44941</v>
      </c>
      <c r="I696" s="4" t="s">
        <v>730</v>
      </c>
      <c r="J696" s="4" t="s">
        <v>27</v>
      </c>
      <c r="K696" s="4">
        <v>32</v>
      </c>
      <c r="L696" s="4" t="str" cm="1">
        <f t="array" ref="L696">_xlfn.IFS(K696&gt;=50, "Senior", K696&gt;=30, "Adult", K696&lt;30, "Young Adult")</f>
        <v>Adult</v>
      </c>
      <c r="M696" s="4" t="s">
        <v>8</v>
      </c>
      <c r="N696" s="4">
        <v>1</v>
      </c>
      <c r="O696" s="5">
        <v>500</v>
      </c>
      <c r="P696">
        <f>N696*O696</f>
        <v>500</v>
      </c>
      <c r="Q696">
        <f>(P696*$U$4)</f>
        <v>7.5</v>
      </c>
    </row>
    <row r="697" spans="1:17">
      <c r="A697" s="2">
        <v>698</v>
      </c>
      <c r="B697" s="4">
        <f>YEAR(H697)</f>
        <v>2023</v>
      </c>
      <c r="C697" s="4">
        <f>MONTH(H697)</f>
        <v>7</v>
      </c>
      <c r="D697" s="4">
        <f>DAY(H697)</f>
        <v>19</v>
      </c>
      <c r="E697" s="4" t="str">
        <f>TEXT(H697,"dddd")</f>
        <v>Wednesday</v>
      </c>
      <c r="F697" s="4" t="str">
        <f t="shared" si="11"/>
        <v>July</v>
      </c>
      <c r="G697" s="4"/>
      <c r="H697" s="3">
        <v>45126</v>
      </c>
      <c r="I697" s="4" t="s">
        <v>731</v>
      </c>
      <c r="J697" s="4" t="s">
        <v>29</v>
      </c>
      <c r="K697" s="4">
        <v>32</v>
      </c>
      <c r="L697" s="4" t="str" cm="1">
        <f t="array" ref="L697">_xlfn.IFS(K697&gt;=50, "Senior", K697&gt;=30, "Adult", K697&lt;30, "Young Adult")</f>
        <v>Adult</v>
      </c>
      <c r="M697" s="4" t="s">
        <v>10</v>
      </c>
      <c r="N697" s="4">
        <v>1</v>
      </c>
      <c r="O697" s="5">
        <v>300</v>
      </c>
      <c r="P697">
        <f>N697*O697</f>
        <v>300</v>
      </c>
      <c r="Q697">
        <f>(P697*$U$4)</f>
        <v>4.5</v>
      </c>
    </row>
    <row r="698" spans="1:17">
      <c r="A698" s="2">
        <v>699</v>
      </c>
      <c r="B698" s="4">
        <f>YEAR(H698)</f>
        <v>2023</v>
      </c>
      <c r="C698" s="4">
        <f>MONTH(H698)</f>
        <v>6</v>
      </c>
      <c r="D698" s="4">
        <f>DAY(H698)</f>
        <v>22</v>
      </c>
      <c r="E698" s="4" t="str">
        <f>TEXT(H698,"dddd")</f>
        <v>Thursday</v>
      </c>
      <c r="F698" s="4" t="str">
        <f t="shared" si="11"/>
        <v>June</v>
      </c>
      <c r="G698" s="4"/>
      <c r="H698" s="3">
        <v>45099</v>
      </c>
      <c r="I698" s="4" t="s">
        <v>732</v>
      </c>
      <c r="J698" s="4" t="s">
        <v>29</v>
      </c>
      <c r="K698" s="4">
        <v>32</v>
      </c>
      <c r="L698" s="4" t="str" cm="1">
        <f t="array" ref="L698">_xlfn.IFS(K698&gt;=50, "Senior", K698&gt;=30, "Adult", K698&lt;30, "Young Adult")</f>
        <v>Adult</v>
      </c>
      <c r="M698" s="4" t="s">
        <v>8</v>
      </c>
      <c r="N698" s="4">
        <v>4</v>
      </c>
      <c r="O698" s="5">
        <v>30</v>
      </c>
      <c r="P698">
        <f>N698*O698</f>
        <v>120</v>
      </c>
      <c r="Q698">
        <f>(P698*$U$4)</f>
        <v>1.7999999999999998</v>
      </c>
    </row>
    <row r="699" spans="1:17">
      <c r="A699" s="2">
        <v>700</v>
      </c>
      <c r="B699" s="4">
        <f>YEAR(H699)</f>
        <v>2023</v>
      </c>
      <c r="C699" s="4">
        <f>MONTH(H699)</f>
        <v>12</v>
      </c>
      <c r="D699" s="4">
        <f>DAY(H699)</f>
        <v>9</v>
      </c>
      <c r="E699" s="4" t="str">
        <f>TEXT(H699,"dddd")</f>
        <v>Saturday</v>
      </c>
      <c r="F699" s="4" t="str">
        <f t="shared" si="11"/>
        <v>December</v>
      </c>
      <c r="G699" s="4"/>
      <c r="H699" s="3">
        <v>45269</v>
      </c>
      <c r="I699" s="4" t="s">
        <v>733</v>
      </c>
      <c r="J699" s="4" t="s">
        <v>27</v>
      </c>
      <c r="K699" s="4">
        <v>32</v>
      </c>
      <c r="L699" s="4" t="str" cm="1">
        <f t="array" ref="L699">_xlfn.IFS(K699&gt;=50, "Senior", K699&gt;=30, "Adult", K699&lt;30, "Young Adult")</f>
        <v>Adult</v>
      </c>
      <c r="M699" s="4" t="s">
        <v>10</v>
      </c>
      <c r="N699" s="4">
        <v>4</v>
      </c>
      <c r="O699" s="5">
        <v>500</v>
      </c>
      <c r="P699">
        <f>N699*O699</f>
        <v>2000</v>
      </c>
      <c r="Q699">
        <f>(P699*$U$4)</f>
        <v>30</v>
      </c>
    </row>
    <row r="700" spans="1:17">
      <c r="A700" s="2">
        <v>701</v>
      </c>
      <c r="B700" s="4">
        <f>YEAR(H700)</f>
        <v>2023</v>
      </c>
      <c r="C700" s="4">
        <f>MONTH(H700)</f>
        <v>12</v>
      </c>
      <c r="D700" s="4">
        <f>DAY(H700)</f>
        <v>14</v>
      </c>
      <c r="E700" s="4" t="str">
        <f>TEXT(H700,"dddd")</f>
        <v>Thursday</v>
      </c>
      <c r="F700" s="4" t="str">
        <f t="shared" si="11"/>
        <v>December</v>
      </c>
      <c r="G700" s="4"/>
      <c r="H700" s="3">
        <v>45274</v>
      </c>
      <c r="I700" s="4" t="s">
        <v>734</v>
      </c>
      <c r="J700" s="4" t="s">
        <v>29</v>
      </c>
      <c r="K700" s="4">
        <v>32</v>
      </c>
      <c r="L700" s="4" t="str" cm="1">
        <f t="array" ref="L700">_xlfn.IFS(K700&gt;=50, "Senior", K700&gt;=30, "Adult", K700&lt;30, "Young Adult")</f>
        <v>Adult</v>
      </c>
      <c r="M700" s="4" t="s">
        <v>3</v>
      </c>
      <c r="N700" s="4">
        <v>2</v>
      </c>
      <c r="O700" s="5">
        <v>30</v>
      </c>
      <c r="P700">
        <f>N700*O700</f>
        <v>60</v>
      </c>
      <c r="Q700">
        <f>(P700*$U$4)</f>
        <v>0.89999999999999991</v>
      </c>
    </row>
    <row r="701" spans="1:17">
      <c r="A701" s="2">
        <v>702</v>
      </c>
      <c r="B701" s="4">
        <f>YEAR(H701)</f>
        <v>2023</v>
      </c>
      <c r="C701" s="4">
        <f>MONTH(H701)</f>
        <v>7</v>
      </c>
      <c r="D701" s="4">
        <f>DAY(H701)</f>
        <v>27</v>
      </c>
      <c r="E701" s="4" t="str">
        <f>TEXT(H701,"dddd")</f>
        <v>Thursday</v>
      </c>
      <c r="F701" s="4" t="str">
        <f t="shared" si="11"/>
        <v>July</v>
      </c>
      <c r="G701" s="4"/>
      <c r="H701" s="3">
        <v>45134</v>
      </c>
      <c r="I701" s="4" t="s">
        <v>735</v>
      </c>
      <c r="J701" s="4" t="s">
        <v>29</v>
      </c>
      <c r="K701" s="4">
        <v>32</v>
      </c>
      <c r="L701" s="4" t="str" cm="1">
        <f t="array" ref="L701">_xlfn.IFS(K701&gt;=50, "Senior", K701&gt;=30, "Adult", K701&lt;30, "Young Adult")</f>
        <v>Adult</v>
      </c>
      <c r="M701" s="4" t="s">
        <v>8</v>
      </c>
      <c r="N701" s="4">
        <v>2</v>
      </c>
      <c r="O701" s="5">
        <v>300</v>
      </c>
      <c r="P701">
        <f>N701*O701</f>
        <v>600</v>
      </c>
      <c r="Q701">
        <f>(P701*$U$4)</f>
        <v>9</v>
      </c>
    </row>
    <row r="702" spans="1:17">
      <c r="A702" s="2">
        <v>703</v>
      </c>
      <c r="B702" s="4">
        <f>YEAR(H702)</f>
        <v>2023</v>
      </c>
      <c r="C702" s="4">
        <f>MONTH(H702)</f>
        <v>3</v>
      </c>
      <c r="D702" s="4">
        <f>DAY(H702)</f>
        <v>26</v>
      </c>
      <c r="E702" s="4" t="str">
        <f>TEXT(H702,"dddd")</f>
        <v>Sunday</v>
      </c>
      <c r="F702" s="4" t="str">
        <f t="shared" si="11"/>
        <v>March</v>
      </c>
      <c r="G702" s="4"/>
      <c r="H702" s="3">
        <v>45011</v>
      </c>
      <c r="I702" s="4" t="s">
        <v>736</v>
      </c>
      <c r="J702" s="4" t="s">
        <v>27</v>
      </c>
      <c r="K702" s="4">
        <v>32</v>
      </c>
      <c r="L702" s="4" t="str" cm="1">
        <f t="array" ref="L702">_xlfn.IFS(K702&gt;=50, "Senior", K702&gt;=30, "Adult", K702&lt;30, "Young Adult")</f>
        <v>Adult</v>
      </c>
      <c r="M702" s="4" t="s">
        <v>10</v>
      </c>
      <c r="N702" s="4">
        <v>2</v>
      </c>
      <c r="O702" s="5">
        <v>50</v>
      </c>
      <c r="P702">
        <f>N702*O702</f>
        <v>100</v>
      </c>
      <c r="Q702">
        <f>(P702*$U$4)</f>
        <v>1.5</v>
      </c>
    </row>
    <row r="703" spans="1:17">
      <c r="A703" s="2">
        <v>704</v>
      </c>
      <c r="B703" s="4">
        <f>YEAR(H703)</f>
        <v>2023</v>
      </c>
      <c r="C703" s="4">
        <f>MONTH(H703)</f>
        <v>8</v>
      </c>
      <c r="D703" s="4">
        <f>DAY(H703)</f>
        <v>28</v>
      </c>
      <c r="E703" s="4" t="str">
        <f>TEXT(H703,"dddd")</f>
        <v>Monday</v>
      </c>
      <c r="F703" s="4" t="str">
        <f t="shared" si="11"/>
        <v>August</v>
      </c>
      <c r="G703" s="4"/>
      <c r="H703" s="3">
        <v>45166</v>
      </c>
      <c r="I703" s="4" t="s">
        <v>737</v>
      </c>
      <c r="J703" s="4" t="s">
        <v>29</v>
      </c>
      <c r="K703" s="4">
        <v>32</v>
      </c>
      <c r="L703" s="4" t="str" cm="1">
        <f t="array" ref="L703">_xlfn.IFS(K703&gt;=50, "Senior", K703&gt;=30, "Adult", K703&lt;30, "Young Adult")</f>
        <v>Adult</v>
      </c>
      <c r="M703" s="4" t="s">
        <v>8</v>
      </c>
      <c r="N703" s="4">
        <v>3</v>
      </c>
      <c r="O703" s="5">
        <v>30</v>
      </c>
      <c r="P703">
        <f>N703*O703</f>
        <v>90</v>
      </c>
      <c r="Q703">
        <f>(P703*$U$4)</f>
        <v>1.3499999999999999</v>
      </c>
    </row>
    <row r="704" spans="1:17">
      <c r="A704" s="2">
        <v>705</v>
      </c>
      <c r="B704" s="4">
        <f>YEAR(H704)</f>
        <v>2023</v>
      </c>
      <c r="C704" s="4">
        <f>MONTH(H704)</f>
        <v>3</v>
      </c>
      <c r="D704" s="4">
        <f>DAY(H704)</f>
        <v>7</v>
      </c>
      <c r="E704" s="4" t="str">
        <f>TEXT(H704,"dddd")</f>
        <v>Tuesday</v>
      </c>
      <c r="F704" s="4" t="str">
        <f t="shared" si="11"/>
        <v>March</v>
      </c>
      <c r="G704" s="4"/>
      <c r="H704" s="3">
        <v>44992</v>
      </c>
      <c r="I704" s="4" t="s">
        <v>738</v>
      </c>
      <c r="J704" s="4" t="s">
        <v>27</v>
      </c>
      <c r="K704" s="4">
        <v>32</v>
      </c>
      <c r="L704" s="4" t="str" cm="1">
        <f t="array" ref="L704">_xlfn.IFS(K704&gt;=50, "Senior", K704&gt;=30, "Adult", K704&lt;30, "Young Adult")</f>
        <v>Adult</v>
      </c>
      <c r="M704" s="4" t="s">
        <v>10</v>
      </c>
      <c r="N704" s="4">
        <v>2</v>
      </c>
      <c r="O704" s="5">
        <v>25</v>
      </c>
      <c r="P704">
        <f>N704*O704</f>
        <v>50</v>
      </c>
      <c r="Q704">
        <f>(P704*$U$4)</f>
        <v>0.75</v>
      </c>
    </row>
    <row r="705" spans="1:17">
      <c r="A705" s="2">
        <v>706</v>
      </c>
      <c r="B705" s="4">
        <f>YEAR(H705)</f>
        <v>2023</v>
      </c>
      <c r="C705" s="4">
        <f>MONTH(H705)</f>
        <v>11</v>
      </c>
      <c r="D705" s="4">
        <f>DAY(H705)</f>
        <v>15</v>
      </c>
      <c r="E705" s="4" t="str">
        <f>TEXT(H705,"dddd")</f>
        <v>Wednesday</v>
      </c>
      <c r="F705" s="4" t="str">
        <f t="shared" si="11"/>
        <v>November</v>
      </c>
      <c r="G705" s="4"/>
      <c r="H705" s="3">
        <v>45245</v>
      </c>
      <c r="I705" s="4" t="s">
        <v>739</v>
      </c>
      <c r="J705" s="4" t="s">
        <v>27</v>
      </c>
      <c r="K705" s="4">
        <v>31</v>
      </c>
      <c r="L705" s="4" t="str" cm="1">
        <f t="array" ref="L705">_xlfn.IFS(K705&gt;=50, "Senior", K705&gt;=30, "Adult", K705&lt;30, "Young Adult")</f>
        <v>Adult</v>
      </c>
      <c r="M705" s="4" t="s">
        <v>10</v>
      </c>
      <c r="N705" s="4">
        <v>4</v>
      </c>
      <c r="O705" s="5">
        <v>25</v>
      </c>
      <c r="P705">
        <f>N705*O705</f>
        <v>100</v>
      </c>
      <c r="Q705">
        <f>(P705*$U$4)</f>
        <v>1.5</v>
      </c>
    </row>
    <row r="706" spans="1:17">
      <c r="A706" s="2">
        <v>707</v>
      </c>
      <c r="B706" s="4">
        <f>YEAR(H706)</f>
        <v>2023</v>
      </c>
      <c r="C706" s="4">
        <f>MONTH(H706)</f>
        <v>10</v>
      </c>
      <c r="D706" s="4">
        <f>DAY(H706)</f>
        <v>1</v>
      </c>
      <c r="E706" s="4" t="str">
        <f>TEXT(H706,"dddd")</f>
        <v>Sunday</v>
      </c>
      <c r="F706" s="4" t="str">
        <f t="shared" si="11"/>
        <v>October</v>
      </c>
      <c r="G706" s="4"/>
      <c r="H706" s="3">
        <v>45200</v>
      </c>
      <c r="I706" s="4" t="s">
        <v>740</v>
      </c>
      <c r="J706" s="4" t="s">
        <v>29</v>
      </c>
      <c r="K706" s="4">
        <v>31</v>
      </c>
      <c r="L706" s="4" t="str" cm="1">
        <f t="array" ref="L706">_xlfn.IFS(K706&gt;=50, "Senior", K706&gt;=30, "Adult", K706&lt;30, "Young Adult")</f>
        <v>Adult</v>
      </c>
      <c r="M706" s="4" t="s">
        <v>8</v>
      </c>
      <c r="N706" s="4">
        <v>1</v>
      </c>
      <c r="O706" s="5">
        <v>500</v>
      </c>
      <c r="P706">
        <f>N706*O706</f>
        <v>500</v>
      </c>
      <c r="Q706">
        <f>(P706*$U$4)</f>
        <v>7.5</v>
      </c>
    </row>
    <row r="707" spans="1:17">
      <c r="A707" s="2">
        <v>708</v>
      </c>
      <c r="B707" s="4">
        <f>YEAR(H707)</f>
        <v>2023</v>
      </c>
      <c r="C707" s="4">
        <f>MONTH(H707)</f>
        <v>1</v>
      </c>
      <c r="D707" s="4">
        <f>DAY(H707)</f>
        <v>14</v>
      </c>
      <c r="E707" s="4" t="str">
        <f>TEXT(H707,"dddd")</f>
        <v>Saturday</v>
      </c>
      <c r="F707" s="4" t="str">
        <f t="shared" ref="F707:F770" si="12">TEXT(H707,"mmmm")</f>
        <v>January</v>
      </c>
      <c r="G707" s="4"/>
      <c r="H707" s="3">
        <v>44940</v>
      </c>
      <c r="I707" s="4" t="s">
        <v>741</v>
      </c>
      <c r="J707" s="4" t="s">
        <v>29</v>
      </c>
      <c r="K707" s="4">
        <v>31</v>
      </c>
      <c r="L707" s="4" t="str" cm="1">
        <f t="array" ref="L707">_xlfn.IFS(K707&gt;=50, "Senior", K707&gt;=30, "Adult", K707&lt;30, "Young Adult")</f>
        <v>Adult</v>
      </c>
      <c r="M707" s="4" t="s">
        <v>3</v>
      </c>
      <c r="N707" s="4">
        <v>3</v>
      </c>
      <c r="O707" s="5">
        <v>300</v>
      </c>
      <c r="P707">
        <f>N707*O707</f>
        <v>900</v>
      </c>
      <c r="Q707">
        <f>(P707*$U$4)</f>
        <v>13.5</v>
      </c>
    </row>
    <row r="708" spans="1:17">
      <c r="A708" s="2">
        <v>709</v>
      </c>
      <c r="B708" s="4">
        <f>YEAR(H708)</f>
        <v>2023</v>
      </c>
      <c r="C708" s="4">
        <f>MONTH(H708)</f>
        <v>7</v>
      </c>
      <c r="D708" s="4">
        <f>DAY(H708)</f>
        <v>21</v>
      </c>
      <c r="E708" s="4" t="str">
        <f>TEXT(H708,"dddd")</f>
        <v>Friday</v>
      </c>
      <c r="F708" s="4" t="str">
        <f t="shared" si="12"/>
        <v>July</v>
      </c>
      <c r="G708" s="4"/>
      <c r="H708" s="3">
        <v>45128</v>
      </c>
      <c r="I708" s="4" t="s">
        <v>742</v>
      </c>
      <c r="J708" s="4" t="s">
        <v>29</v>
      </c>
      <c r="K708" s="4">
        <v>31</v>
      </c>
      <c r="L708" s="4" t="str" cm="1">
        <f t="array" ref="L708">_xlfn.IFS(K708&gt;=50, "Senior", K708&gt;=30, "Adult", K708&lt;30, "Young Adult")</f>
        <v>Adult</v>
      </c>
      <c r="M708" s="4" t="s">
        <v>10</v>
      </c>
      <c r="N708" s="4">
        <v>2</v>
      </c>
      <c r="O708" s="5">
        <v>500</v>
      </c>
      <c r="P708">
        <f>N708*O708</f>
        <v>1000</v>
      </c>
      <c r="Q708">
        <f>(P708*$U$4)</f>
        <v>15</v>
      </c>
    </row>
    <row r="709" spans="1:17">
      <c r="A709" s="2">
        <v>710</v>
      </c>
      <c r="B709" s="4">
        <f>YEAR(H709)</f>
        <v>2023</v>
      </c>
      <c r="C709" s="4">
        <f>MONTH(H709)</f>
        <v>10</v>
      </c>
      <c r="D709" s="4">
        <f>DAY(H709)</f>
        <v>31</v>
      </c>
      <c r="E709" s="4" t="str">
        <f>TEXT(H709,"dddd")</f>
        <v>Tuesday</v>
      </c>
      <c r="F709" s="4" t="str">
        <f t="shared" si="12"/>
        <v>October</v>
      </c>
      <c r="G709" s="4"/>
      <c r="H709" s="3">
        <v>45230</v>
      </c>
      <c r="I709" s="4" t="s">
        <v>743</v>
      </c>
      <c r="J709" s="4" t="s">
        <v>29</v>
      </c>
      <c r="K709" s="4">
        <v>31</v>
      </c>
      <c r="L709" s="4" t="str" cm="1">
        <f t="array" ref="L709">_xlfn.IFS(K709&gt;=50, "Senior", K709&gt;=30, "Adult", K709&lt;30, "Young Adult")</f>
        <v>Adult</v>
      </c>
      <c r="M709" s="4" t="s">
        <v>10</v>
      </c>
      <c r="N709" s="4">
        <v>3</v>
      </c>
      <c r="O709" s="5">
        <v>500</v>
      </c>
      <c r="P709">
        <f>N709*O709</f>
        <v>1500</v>
      </c>
      <c r="Q709">
        <f>(P709*$U$4)</f>
        <v>22.5</v>
      </c>
    </row>
    <row r="710" spans="1:17">
      <c r="A710" s="2">
        <v>711</v>
      </c>
      <c r="B710" s="4">
        <f>YEAR(H710)</f>
        <v>2023</v>
      </c>
      <c r="C710" s="4">
        <f>MONTH(H710)</f>
        <v>10</v>
      </c>
      <c r="D710" s="4">
        <f>DAY(H710)</f>
        <v>16</v>
      </c>
      <c r="E710" s="4" t="str">
        <f>TEXT(H710,"dddd")</f>
        <v>Monday</v>
      </c>
      <c r="F710" s="4" t="str">
        <f t="shared" si="12"/>
        <v>October</v>
      </c>
      <c r="G710" s="4"/>
      <c r="H710" s="3">
        <v>45215</v>
      </c>
      <c r="I710" s="4" t="s">
        <v>744</v>
      </c>
      <c r="J710" s="4" t="s">
        <v>27</v>
      </c>
      <c r="K710" s="4">
        <v>31</v>
      </c>
      <c r="L710" s="4" t="str" cm="1">
        <f t="array" ref="L710">_xlfn.IFS(K710&gt;=50, "Senior", K710&gt;=30, "Adult", K710&lt;30, "Young Adult")</f>
        <v>Adult</v>
      </c>
      <c r="M710" s="4" t="s">
        <v>10</v>
      </c>
      <c r="N710" s="4">
        <v>3</v>
      </c>
      <c r="O710" s="5">
        <v>500</v>
      </c>
      <c r="P710">
        <f>N710*O710</f>
        <v>1500</v>
      </c>
      <c r="Q710">
        <f>(P710*$U$4)</f>
        <v>22.5</v>
      </c>
    </row>
    <row r="711" spans="1:17">
      <c r="A711" s="2">
        <v>712</v>
      </c>
      <c r="B711" s="4">
        <f>YEAR(H711)</f>
        <v>2023</v>
      </c>
      <c r="C711" s="4">
        <f>MONTH(H711)</f>
        <v>12</v>
      </c>
      <c r="D711" s="4">
        <f>DAY(H711)</f>
        <v>6</v>
      </c>
      <c r="E711" s="4" t="str">
        <f>TEXT(H711,"dddd")</f>
        <v>Wednesday</v>
      </c>
      <c r="F711" s="4" t="str">
        <f t="shared" si="12"/>
        <v>December</v>
      </c>
      <c r="G711" s="4"/>
      <c r="H711" s="3">
        <v>45266</v>
      </c>
      <c r="I711" s="4" t="s">
        <v>745</v>
      </c>
      <c r="J711" s="4" t="s">
        <v>29</v>
      </c>
      <c r="K711" s="4">
        <v>31</v>
      </c>
      <c r="L711" s="4" t="str" cm="1">
        <f t="array" ref="L711">_xlfn.IFS(K711&gt;=50, "Senior", K711&gt;=30, "Adult", K711&lt;30, "Young Adult")</f>
        <v>Adult</v>
      </c>
      <c r="M711" s="4" t="s">
        <v>3</v>
      </c>
      <c r="N711" s="4">
        <v>2</v>
      </c>
      <c r="O711" s="5">
        <v>25</v>
      </c>
      <c r="P711">
        <f>N711*O711</f>
        <v>50</v>
      </c>
      <c r="Q711">
        <f>(P711*$U$4)</f>
        <v>0.75</v>
      </c>
    </row>
    <row r="712" spans="1:17">
      <c r="A712" s="2">
        <v>713</v>
      </c>
      <c r="B712" s="4">
        <f>YEAR(H712)</f>
        <v>2023</v>
      </c>
      <c r="C712" s="4">
        <f>MONTH(H712)</f>
        <v>1</v>
      </c>
      <c r="D712" s="4">
        <f>DAY(H712)</f>
        <v>14</v>
      </c>
      <c r="E712" s="4" t="str">
        <f>TEXT(H712,"dddd")</f>
        <v>Saturday</v>
      </c>
      <c r="F712" s="4" t="str">
        <f t="shared" si="12"/>
        <v>January</v>
      </c>
      <c r="G712" s="4"/>
      <c r="H712" s="3">
        <v>44940</v>
      </c>
      <c r="I712" s="4" t="s">
        <v>746</v>
      </c>
      <c r="J712" s="4" t="s">
        <v>27</v>
      </c>
      <c r="K712" s="4">
        <v>31</v>
      </c>
      <c r="L712" s="4" t="str" cm="1">
        <f t="array" ref="L712">_xlfn.IFS(K712&gt;=50, "Senior", K712&gt;=30, "Adult", K712&lt;30, "Young Adult")</f>
        <v>Adult</v>
      </c>
      <c r="M712" s="4" t="s">
        <v>3</v>
      </c>
      <c r="N712" s="4">
        <v>3</v>
      </c>
      <c r="O712" s="5">
        <v>25</v>
      </c>
      <c r="P712">
        <f>N712*O712</f>
        <v>75</v>
      </c>
      <c r="Q712">
        <f>(P712*$U$4)</f>
        <v>1.125</v>
      </c>
    </row>
    <row r="713" spans="1:17">
      <c r="A713" s="2">
        <v>714</v>
      </c>
      <c r="B713" s="4">
        <f>YEAR(H713)</f>
        <v>2023</v>
      </c>
      <c r="C713" s="4">
        <f>MONTH(H713)</f>
        <v>2</v>
      </c>
      <c r="D713" s="4">
        <f>DAY(H713)</f>
        <v>12</v>
      </c>
      <c r="E713" s="4" t="str">
        <f>TEXT(H713,"dddd")</f>
        <v>Sunday</v>
      </c>
      <c r="F713" s="4" t="str">
        <f t="shared" si="12"/>
        <v>February</v>
      </c>
      <c r="G713" s="4"/>
      <c r="H713" s="3">
        <v>44969</v>
      </c>
      <c r="I713" s="4" t="s">
        <v>747</v>
      </c>
      <c r="J713" s="4" t="s">
        <v>29</v>
      </c>
      <c r="K713" s="4">
        <v>31</v>
      </c>
      <c r="L713" s="4" t="str" cm="1">
        <f t="array" ref="L713">_xlfn.IFS(K713&gt;=50, "Senior", K713&gt;=30, "Adult", K713&lt;30, "Young Adult")</f>
        <v>Adult</v>
      </c>
      <c r="M713" s="4" t="s">
        <v>8</v>
      </c>
      <c r="N713" s="4">
        <v>1</v>
      </c>
      <c r="O713" s="5">
        <v>500</v>
      </c>
      <c r="P713">
        <f>N713*O713</f>
        <v>500</v>
      </c>
      <c r="Q713">
        <f>(P713*$U$4)</f>
        <v>7.5</v>
      </c>
    </row>
    <row r="714" spans="1:17">
      <c r="A714" s="2">
        <v>715</v>
      </c>
      <c r="B714" s="4">
        <f>YEAR(H714)</f>
        <v>2023</v>
      </c>
      <c r="C714" s="4">
        <f>MONTH(H714)</f>
        <v>11</v>
      </c>
      <c r="D714" s="4">
        <f>DAY(H714)</f>
        <v>26</v>
      </c>
      <c r="E714" s="4" t="str">
        <f>TEXT(H714,"dddd")</f>
        <v>Sunday</v>
      </c>
      <c r="F714" s="4" t="str">
        <f t="shared" si="12"/>
        <v>November</v>
      </c>
      <c r="G714" s="4"/>
      <c r="H714" s="3">
        <v>45256</v>
      </c>
      <c r="I714" s="4" t="s">
        <v>748</v>
      </c>
      <c r="J714" s="4" t="s">
        <v>29</v>
      </c>
      <c r="K714" s="4">
        <v>31</v>
      </c>
      <c r="L714" s="4" t="str" cm="1">
        <f t="array" ref="L714">_xlfn.IFS(K714&gt;=50, "Senior", K714&gt;=30, "Adult", K714&lt;30, "Young Adult")</f>
        <v>Adult</v>
      </c>
      <c r="M714" s="4" t="s">
        <v>3</v>
      </c>
      <c r="N714" s="4">
        <v>4</v>
      </c>
      <c r="O714" s="5">
        <v>25</v>
      </c>
      <c r="P714">
        <f>N714*O714</f>
        <v>100</v>
      </c>
      <c r="Q714">
        <f>(P714*$U$4)</f>
        <v>1.5</v>
      </c>
    </row>
    <row r="715" spans="1:17">
      <c r="A715" s="2">
        <v>716</v>
      </c>
      <c r="B715" s="4">
        <f>YEAR(H715)</f>
        <v>2023</v>
      </c>
      <c r="C715" s="4">
        <f>MONTH(H715)</f>
        <v>8</v>
      </c>
      <c r="D715" s="4">
        <f>DAY(H715)</f>
        <v>8</v>
      </c>
      <c r="E715" s="4" t="str">
        <f>TEXT(H715,"dddd")</f>
        <v>Tuesday</v>
      </c>
      <c r="F715" s="4" t="str">
        <f t="shared" si="12"/>
        <v>August</v>
      </c>
      <c r="G715" s="4"/>
      <c r="H715" s="3">
        <v>45146</v>
      </c>
      <c r="I715" s="4" t="s">
        <v>749</v>
      </c>
      <c r="J715" s="4" t="s">
        <v>29</v>
      </c>
      <c r="K715" s="4">
        <v>31</v>
      </c>
      <c r="L715" s="4" t="str" cm="1">
        <f t="array" ref="L715">_xlfn.IFS(K715&gt;=50, "Senior", K715&gt;=30, "Adult", K715&lt;30, "Young Adult")</f>
        <v>Adult</v>
      </c>
      <c r="M715" s="4" t="s">
        <v>8</v>
      </c>
      <c r="N715" s="4">
        <v>4</v>
      </c>
      <c r="O715" s="5">
        <v>300</v>
      </c>
      <c r="P715">
        <f>N715*O715</f>
        <v>1200</v>
      </c>
      <c r="Q715">
        <f>(P715*$U$4)</f>
        <v>18</v>
      </c>
    </row>
    <row r="716" spans="1:17">
      <c r="A716" s="2">
        <v>717</v>
      </c>
      <c r="B716" s="4">
        <f>YEAR(H716)</f>
        <v>2023</v>
      </c>
      <c r="C716" s="4">
        <f>MONTH(H716)</f>
        <v>3</v>
      </c>
      <c r="D716" s="4">
        <f>DAY(H716)</f>
        <v>11</v>
      </c>
      <c r="E716" s="4" t="str">
        <f>TEXT(H716,"dddd")</f>
        <v>Saturday</v>
      </c>
      <c r="F716" s="4" t="str">
        <f t="shared" si="12"/>
        <v>March</v>
      </c>
      <c r="G716" s="4"/>
      <c r="H716" s="3">
        <v>44996</v>
      </c>
      <c r="I716" s="4" t="s">
        <v>750</v>
      </c>
      <c r="J716" s="4" t="s">
        <v>27</v>
      </c>
      <c r="K716" s="4">
        <v>31</v>
      </c>
      <c r="L716" s="4" t="str" cm="1">
        <f t="array" ref="L716">_xlfn.IFS(K716&gt;=50, "Senior", K716&gt;=30, "Adult", K716&lt;30, "Young Adult")</f>
        <v>Adult</v>
      </c>
      <c r="M716" s="4" t="s">
        <v>8</v>
      </c>
      <c r="N716" s="4">
        <v>1</v>
      </c>
      <c r="O716" s="5">
        <v>500</v>
      </c>
      <c r="P716">
        <f>N716*O716</f>
        <v>500</v>
      </c>
      <c r="Q716">
        <f>(P716*$U$4)</f>
        <v>7.5</v>
      </c>
    </row>
    <row r="717" spans="1:17">
      <c r="A717" s="2">
        <v>718</v>
      </c>
      <c r="B717" s="4">
        <f>YEAR(H717)</f>
        <v>2023</v>
      </c>
      <c r="C717" s="4">
        <f>MONTH(H717)</f>
        <v>8</v>
      </c>
      <c r="D717" s="4">
        <f>DAY(H717)</f>
        <v>25</v>
      </c>
      <c r="E717" s="4" t="str">
        <f>TEXT(H717,"dddd")</f>
        <v>Friday</v>
      </c>
      <c r="F717" s="4" t="str">
        <f t="shared" si="12"/>
        <v>August</v>
      </c>
      <c r="G717" s="4"/>
      <c r="H717" s="3">
        <v>45163</v>
      </c>
      <c r="I717" s="4" t="s">
        <v>751</v>
      </c>
      <c r="J717" s="4" t="s">
        <v>29</v>
      </c>
      <c r="K717" s="4">
        <v>31</v>
      </c>
      <c r="L717" s="4" t="str" cm="1">
        <f t="array" ref="L717">_xlfn.IFS(K717&gt;=50, "Senior", K717&gt;=30, "Adult", K717&lt;30, "Young Adult")</f>
        <v>Adult</v>
      </c>
      <c r="M717" s="4" t="s">
        <v>3</v>
      </c>
      <c r="N717" s="4">
        <v>3</v>
      </c>
      <c r="O717" s="5">
        <v>25</v>
      </c>
      <c r="P717">
        <f>N717*O717</f>
        <v>75</v>
      </c>
      <c r="Q717">
        <f>(P717*$U$4)</f>
        <v>1.125</v>
      </c>
    </row>
    <row r="718" spans="1:17">
      <c r="A718" s="2">
        <v>719</v>
      </c>
      <c r="B718" s="4">
        <f>YEAR(H718)</f>
        <v>2023</v>
      </c>
      <c r="C718" s="4">
        <f>MONTH(H718)</f>
        <v>4</v>
      </c>
      <c r="D718" s="4">
        <f>DAY(H718)</f>
        <v>4</v>
      </c>
      <c r="E718" s="4" t="str">
        <f>TEXT(H718,"dddd")</f>
        <v>Tuesday</v>
      </c>
      <c r="F718" s="4" t="str">
        <f t="shared" si="12"/>
        <v>April</v>
      </c>
      <c r="G718" s="4"/>
      <c r="H718" s="3">
        <v>45020</v>
      </c>
      <c r="I718" s="4" t="s">
        <v>752</v>
      </c>
      <c r="J718" s="4" t="s">
        <v>29</v>
      </c>
      <c r="K718" s="4">
        <v>31</v>
      </c>
      <c r="L718" s="4" t="str" cm="1">
        <f t="array" ref="L718">_xlfn.IFS(K718&gt;=50, "Senior", K718&gt;=30, "Adult", K718&lt;30, "Young Adult")</f>
        <v>Adult</v>
      </c>
      <c r="M718" s="4" t="s">
        <v>8</v>
      </c>
      <c r="N718" s="4">
        <v>2</v>
      </c>
      <c r="O718" s="5">
        <v>30</v>
      </c>
      <c r="P718">
        <f>N718*O718</f>
        <v>60</v>
      </c>
      <c r="Q718">
        <f>(P718*$U$4)</f>
        <v>0.89999999999999991</v>
      </c>
    </row>
    <row r="719" spans="1:17">
      <c r="A719" s="2">
        <v>720</v>
      </c>
      <c r="B719" s="4">
        <f>YEAR(H719)</f>
        <v>2023</v>
      </c>
      <c r="C719" s="4">
        <f>MONTH(H719)</f>
        <v>1</v>
      </c>
      <c r="D719" s="4">
        <f>DAY(H719)</f>
        <v>26</v>
      </c>
      <c r="E719" s="4" t="str">
        <f>TEXT(H719,"dddd")</f>
        <v>Thursday</v>
      </c>
      <c r="F719" s="4" t="str">
        <f t="shared" si="12"/>
        <v>January</v>
      </c>
      <c r="G719" s="4"/>
      <c r="H719" s="3">
        <v>44952</v>
      </c>
      <c r="I719" s="4" t="s">
        <v>753</v>
      </c>
      <c r="J719" s="4" t="s">
        <v>29</v>
      </c>
      <c r="K719" s="4">
        <v>31</v>
      </c>
      <c r="L719" s="4" t="str" cm="1">
        <f t="array" ref="L719">_xlfn.IFS(K719&gt;=50, "Senior", K719&gt;=30, "Adult", K719&lt;30, "Young Adult")</f>
        <v>Adult</v>
      </c>
      <c r="M719" s="4" t="s">
        <v>3</v>
      </c>
      <c r="N719" s="4">
        <v>3</v>
      </c>
      <c r="O719" s="5">
        <v>500</v>
      </c>
      <c r="P719">
        <f>N719*O719</f>
        <v>1500</v>
      </c>
      <c r="Q719">
        <f>(P719*$U$4)</f>
        <v>22.5</v>
      </c>
    </row>
    <row r="720" spans="1:17">
      <c r="A720" s="2">
        <v>721</v>
      </c>
      <c r="B720" s="4">
        <f>YEAR(H720)</f>
        <v>2023</v>
      </c>
      <c r="C720" s="4">
        <f>MONTH(H720)</f>
        <v>5</v>
      </c>
      <c r="D720" s="4">
        <f>DAY(H720)</f>
        <v>14</v>
      </c>
      <c r="E720" s="4" t="str">
        <f>TEXT(H720,"dddd")</f>
        <v>Sunday</v>
      </c>
      <c r="F720" s="4" t="str">
        <f t="shared" si="12"/>
        <v>May</v>
      </c>
      <c r="G720" s="4"/>
      <c r="H720" s="3">
        <v>45060</v>
      </c>
      <c r="I720" s="4" t="s">
        <v>754</v>
      </c>
      <c r="J720" s="4" t="s">
        <v>29</v>
      </c>
      <c r="K720" s="4">
        <v>31</v>
      </c>
      <c r="L720" s="4" t="str" cm="1">
        <f t="array" ref="L720">_xlfn.IFS(K720&gt;=50, "Senior", K720&gt;=30, "Adult", K720&lt;30, "Young Adult")</f>
        <v>Adult</v>
      </c>
      <c r="M720" s="4" t="s">
        <v>8</v>
      </c>
      <c r="N720" s="4">
        <v>1</v>
      </c>
      <c r="O720" s="5">
        <v>500</v>
      </c>
      <c r="P720">
        <f>N720*O720</f>
        <v>500</v>
      </c>
      <c r="Q720">
        <f>(P720*$U$4)</f>
        <v>7.5</v>
      </c>
    </row>
    <row r="721" spans="1:17">
      <c r="A721" s="2">
        <v>722</v>
      </c>
      <c r="B721" s="4">
        <f>YEAR(H721)</f>
        <v>2023</v>
      </c>
      <c r="C721" s="4">
        <f>MONTH(H721)</f>
        <v>7</v>
      </c>
      <c r="D721" s="4">
        <f>DAY(H721)</f>
        <v>14</v>
      </c>
      <c r="E721" s="4" t="str">
        <f>TEXT(H721,"dddd")</f>
        <v>Friday</v>
      </c>
      <c r="F721" s="4" t="str">
        <f t="shared" si="12"/>
        <v>July</v>
      </c>
      <c r="G721" s="4"/>
      <c r="H721" s="3">
        <v>45121</v>
      </c>
      <c r="I721" s="4" t="s">
        <v>755</v>
      </c>
      <c r="J721" s="4" t="s">
        <v>27</v>
      </c>
      <c r="K721" s="4">
        <v>31</v>
      </c>
      <c r="L721" s="4" t="str" cm="1">
        <f t="array" ref="L721">_xlfn.IFS(K721&gt;=50, "Senior", K721&gt;=30, "Adult", K721&lt;30, "Young Adult")</f>
        <v>Adult</v>
      </c>
      <c r="M721" s="4" t="s">
        <v>3</v>
      </c>
      <c r="N721" s="4">
        <v>3</v>
      </c>
      <c r="O721" s="5">
        <v>300</v>
      </c>
      <c r="P721">
        <f>N721*O721</f>
        <v>900</v>
      </c>
      <c r="Q721">
        <f>(P721*$U$4)</f>
        <v>13.5</v>
      </c>
    </row>
    <row r="722" spans="1:17">
      <c r="A722" s="2">
        <v>723</v>
      </c>
      <c r="B722" s="4">
        <f>YEAR(H722)</f>
        <v>2023</v>
      </c>
      <c r="C722" s="4">
        <f>MONTH(H722)</f>
        <v>6</v>
      </c>
      <c r="D722" s="4">
        <f>DAY(H722)</f>
        <v>17</v>
      </c>
      <c r="E722" s="4" t="str">
        <f>TEXT(H722,"dddd")</f>
        <v>Saturday</v>
      </c>
      <c r="F722" s="4" t="str">
        <f t="shared" si="12"/>
        <v>June</v>
      </c>
      <c r="G722" s="4"/>
      <c r="H722" s="3">
        <v>45094</v>
      </c>
      <c r="I722" s="4" t="s">
        <v>756</v>
      </c>
      <c r="J722" s="4" t="s">
        <v>29</v>
      </c>
      <c r="K722" s="4">
        <v>31</v>
      </c>
      <c r="L722" s="4" t="str" cm="1">
        <f t="array" ref="L722">_xlfn.IFS(K722&gt;=50, "Senior", K722&gt;=30, "Adult", K722&lt;30, "Young Adult")</f>
        <v>Adult</v>
      </c>
      <c r="M722" s="4" t="s">
        <v>3</v>
      </c>
      <c r="N722" s="4">
        <v>4</v>
      </c>
      <c r="O722" s="5">
        <v>50</v>
      </c>
      <c r="P722">
        <f>N722*O722</f>
        <v>200</v>
      </c>
      <c r="Q722">
        <f>(P722*$U$4)</f>
        <v>3</v>
      </c>
    </row>
    <row r="723" spans="1:17">
      <c r="A723" s="2">
        <v>724</v>
      </c>
      <c r="B723" s="4">
        <f>YEAR(H723)</f>
        <v>2023</v>
      </c>
      <c r="C723" s="4">
        <f>MONTH(H723)</f>
        <v>4</v>
      </c>
      <c r="D723" s="4">
        <f>DAY(H723)</f>
        <v>19</v>
      </c>
      <c r="E723" s="4" t="str">
        <f>TEXT(H723,"dddd")</f>
        <v>Wednesday</v>
      </c>
      <c r="F723" s="4" t="str">
        <f t="shared" si="12"/>
        <v>April</v>
      </c>
      <c r="G723" s="4"/>
      <c r="H723" s="3">
        <v>45035</v>
      </c>
      <c r="I723" s="4" t="s">
        <v>757</v>
      </c>
      <c r="J723" s="4" t="s">
        <v>27</v>
      </c>
      <c r="K723" s="4">
        <v>31</v>
      </c>
      <c r="L723" s="4" t="str" cm="1">
        <f t="array" ref="L723">_xlfn.IFS(K723&gt;=50, "Senior", K723&gt;=30, "Adult", K723&lt;30, "Young Adult")</f>
        <v>Adult</v>
      </c>
      <c r="M723" s="4" t="s">
        <v>8</v>
      </c>
      <c r="N723" s="4">
        <v>3</v>
      </c>
      <c r="O723" s="5">
        <v>50</v>
      </c>
      <c r="P723">
        <f>N723*O723</f>
        <v>150</v>
      </c>
      <c r="Q723">
        <f>(P723*$U$4)</f>
        <v>2.25</v>
      </c>
    </row>
    <row r="724" spans="1:17">
      <c r="A724" s="2">
        <v>725</v>
      </c>
      <c r="B724" s="4">
        <f>YEAR(H724)</f>
        <v>2023</v>
      </c>
      <c r="C724" s="4">
        <f>MONTH(H724)</f>
        <v>8</v>
      </c>
      <c r="D724" s="4">
        <f>DAY(H724)</f>
        <v>21</v>
      </c>
      <c r="E724" s="4" t="str">
        <f>TEXT(H724,"dddd")</f>
        <v>Monday</v>
      </c>
      <c r="F724" s="4" t="str">
        <f t="shared" si="12"/>
        <v>August</v>
      </c>
      <c r="G724" s="4"/>
      <c r="H724" s="3">
        <v>45159</v>
      </c>
      <c r="I724" s="4" t="s">
        <v>758</v>
      </c>
      <c r="J724" s="4" t="s">
        <v>27</v>
      </c>
      <c r="K724" s="4">
        <v>31</v>
      </c>
      <c r="L724" s="4" t="str" cm="1">
        <f t="array" ref="L724">_xlfn.IFS(K724&gt;=50, "Senior", K724&gt;=30, "Adult", K724&lt;30, "Young Adult")</f>
        <v>Adult</v>
      </c>
      <c r="M724" s="4" t="s">
        <v>10</v>
      </c>
      <c r="N724" s="4">
        <v>1</v>
      </c>
      <c r="O724" s="5">
        <v>300</v>
      </c>
      <c r="P724">
        <f>N724*O724</f>
        <v>300</v>
      </c>
      <c r="Q724">
        <f>(P724*$U$4)</f>
        <v>4.5</v>
      </c>
    </row>
    <row r="725" spans="1:17">
      <c r="A725" s="2">
        <v>726</v>
      </c>
      <c r="B725" s="4">
        <f>YEAR(H725)</f>
        <v>2023</v>
      </c>
      <c r="C725" s="4">
        <f>MONTH(H725)</f>
        <v>6</v>
      </c>
      <c r="D725" s="4">
        <f>DAY(H725)</f>
        <v>17</v>
      </c>
      <c r="E725" s="4" t="str">
        <f>TEXT(H725,"dddd")</f>
        <v>Saturday</v>
      </c>
      <c r="F725" s="4" t="str">
        <f t="shared" si="12"/>
        <v>June</v>
      </c>
      <c r="G725" s="4"/>
      <c r="H725" s="3">
        <v>45094</v>
      </c>
      <c r="I725" s="4" t="s">
        <v>759</v>
      </c>
      <c r="J725" s="4" t="s">
        <v>27</v>
      </c>
      <c r="K725" s="4">
        <v>31</v>
      </c>
      <c r="L725" s="4" t="str" cm="1">
        <f t="array" ref="L725">_xlfn.IFS(K725&gt;=50, "Senior", K725&gt;=30, "Adult", K725&lt;30, "Young Adult")</f>
        <v>Adult</v>
      </c>
      <c r="M725" s="4" t="s">
        <v>8</v>
      </c>
      <c r="N725" s="4">
        <v>4</v>
      </c>
      <c r="O725" s="5">
        <v>300</v>
      </c>
      <c r="P725">
        <f>N725*O725</f>
        <v>1200</v>
      </c>
      <c r="Q725">
        <f>(P725*$U$4)</f>
        <v>18</v>
      </c>
    </row>
    <row r="726" spans="1:17">
      <c r="A726" s="2">
        <v>727</v>
      </c>
      <c r="B726" s="4">
        <f>YEAR(H726)</f>
        <v>2023</v>
      </c>
      <c r="C726" s="4">
        <f>MONTH(H726)</f>
        <v>6</v>
      </c>
      <c r="D726" s="4">
        <f>DAY(H726)</f>
        <v>22</v>
      </c>
      <c r="E726" s="4" t="str">
        <f>TEXT(H726,"dddd")</f>
        <v>Thursday</v>
      </c>
      <c r="F726" s="4" t="str">
        <f t="shared" si="12"/>
        <v>June</v>
      </c>
      <c r="G726" s="4"/>
      <c r="H726" s="3">
        <v>45099</v>
      </c>
      <c r="I726" s="4" t="s">
        <v>760</v>
      </c>
      <c r="J726" s="4" t="s">
        <v>27</v>
      </c>
      <c r="K726" s="4">
        <v>31</v>
      </c>
      <c r="L726" s="4" t="str" cm="1">
        <f t="array" ref="L726">_xlfn.IFS(K726&gt;=50, "Senior", K726&gt;=30, "Adult", K726&lt;30, "Young Adult")</f>
        <v>Adult</v>
      </c>
      <c r="M726" s="4" t="s">
        <v>3</v>
      </c>
      <c r="N726" s="4">
        <v>3</v>
      </c>
      <c r="O726" s="5">
        <v>300</v>
      </c>
      <c r="P726">
        <f>N726*O726</f>
        <v>900</v>
      </c>
      <c r="Q726">
        <f>(P726*$U$4)</f>
        <v>13.5</v>
      </c>
    </row>
    <row r="727" spans="1:17">
      <c r="A727" s="2">
        <v>728</v>
      </c>
      <c r="B727" s="4">
        <f>YEAR(H727)</f>
        <v>2023</v>
      </c>
      <c r="C727" s="4">
        <f>MONTH(H727)</f>
        <v>7</v>
      </c>
      <c r="D727" s="4">
        <f>DAY(H727)</f>
        <v>14</v>
      </c>
      <c r="E727" s="4" t="str">
        <f>TEXT(H727,"dddd")</f>
        <v>Friday</v>
      </c>
      <c r="F727" s="4" t="str">
        <f t="shared" si="12"/>
        <v>July</v>
      </c>
      <c r="G727" s="4"/>
      <c r="H727" s="3">
        <v>45121</v>
      </c>
      <c r="I727" s="4" t="s">
        <v>761</v>
      </c>
      <c r="J727" s="4" t="s">
        <v>27</v>
      </c>
      <c r="K727" s="4">
        <v>30</v>
      </c>
      <c r="L727" s="4" t="str" cm="1">
        <f t="array" ref="L727">_xlfn.IFS(K727&gt;=50, "Senior", K727&gt;=30, "Adult", K727&lt;30, "Young Adult")</f>
        <v>Adult</v>
      </c>
      <c r="M727" s="4" t="s">
        <v>10</v>
      </c>
      <c r="N727" s="4">
        <v>3</v>
      </c>
      <c r="O727" s="5">
        <v>50</v>
      </c>
      <c r="P727">
        <f>N727*O727</f>
        <v>150</v>
      </c>
      <c r="Q727">
        <f>(P727*$U$4)</f>
        <v>2.25</v>
      </c>
    </row>
    <row r="728" spans="1:17">
      <c r="A728" s="2">
        <v>729</v>
      </c>
      <c r="B728" s="4">
        <f>YEAR(H728)</f>
        <v>2023</v>
      </c>
      <c r="C728" s="4">
        <f>MONTH(H728)</f>
        <v>5</v>
      </c>
      <c r="D728" s="4">
        <f>DAY(H728)</f>
        <v>23</v>
      </c>
      <c r="E728" s="4" t="str">
        <f>TEXT(H728,"dddd")</f>
        <v>Tuesday</v>
      </c>
      <c r="F728" s="4" t="str">
        <f t="shared" si="12"/>
        <v>May</v>
      </c>
      <c r="G728" s="4"/>
      <c r="H728" s="3">
        <v>45069</v>
      </c>
      <c r="I728" s="4" t="s">
        <v>762</v>
      </c>
      <c r="J728" s="4" t="s">
        <v>27</v>
      </c>
      <c r="K728" s="4">
        <v>30</v>
      </c>
      <c r="L728" s="4" t="str" cm="1">
        <f t="array" ref="L728">_xlfn.IFS(K728&gt;=50, "Senior", K728&gt;=30, "Adult", K728&lt;30, "Young Adult")</f>
        <v>Adult</v>
      </c>
      <c r="M728" s="4" t="s">
        <v>8</v>
      </c>
      <c r="N728" s="4">
        <v>4</v>
      </c>
      <c r="O728" s="5">
        <v>300</v>
      </c>
      <c r="P728">
        <f>N728*O728</f>
        <v>1200</v>
      </c>
      <c r="Q728">
        <f>(P728*$U$4)</f>
        <v>18</v>
      </c>
    </row>
    <row r="729" spans="1:17">
      <c r="A729" s="2">
        <v>730</v>
      </c>
      <c r="B729" s="4">
        <f>YEAR(H729)</f>
        <v>2023</v>
      </c>
      <c r="C729" s="4">
        <f>MONTH(H729)</f>
        <v>8</v>
      </c>
      <c r="D729" s="4">
        <f>DAY(H729)</f>
        <v>4</v>
      </c>
      <c r="E729" s="4" t="str">
        <f>TEXT(H729,"dddd")</f>
        <v>Friday</v>
      </c>
      <c r="F729" s="4" t="str">
        <f t="shared" si="12"/>
        <v>August</v>
      </c>
      <c r="G729" s="4"/>
      <c r="H729" s="3">
        <v>45142</v>
      </c>
      <c r="I729" s="4" t="s">
        <v>763</v>
      </c>
      <c r="J729" s="4" t="s">
        <v>29</v>
      </c>
      <c r="K729" s="4">
        <v>30</v>
      </c>
      <c r="L729" s="4" t="str" cm="1">
        <f t="array" ref="L729">_xlfn.IFS(K729&gt;=50, "Senior", K729&gt;=30, "Adult", K729&lt;30, "Young Adult")</f>
        <v>Adult</v>
      </c>
      <c r="M729" s="4" t="s">
        <v>8</v>
      </c>
      <c r="N729" s="4">
        <v>2</v>
      </c>
      <c r="O729" s="5">
        <v>25</v>
      </c>
      <c r="P729">
        <f>N729*O729</f>
        <v>50</v>
      </c>
      <c r="Q729">
        <f>(P729*$U$4)</f>
        <v>0.75</v>
      </c>
    </row>
    <row r="730" spans="1:17">
      <c r="A730" s="2">
        <v>731</v>
      </c>
      <c r="B730" s="4">
        <f>YEAR(H730)</f>
        <v>2023</v>
      </c>
      <c r="C730" s="4">
        <f>MONTH(H730)</f>
        <v>5</v>
      </c>
      <c r="D730" s="4">
        <f>DAY(H730)</f>
        <v>10</v>
      </c>
      <c r="E730" s="4" t="str">
        <f>TEXT(H730,"dddd")</f>
        <v>Wednesday</v>
      </c>
      <c r="F730" s="4" t="str">
        <f t="shared" si="12"/>
        <v>May</v>
      </c>
      <c r="G730" s="4"/>
      <c r="H730" s="3">
        <v>45056</v>
      </c>
      <c r="I730" s="4" t="s">
        <v>764</v>
      </c>
      <c r="J730" s="4" t="s">
        <v>27</v>
      </c>
      <c r="K730" s="4">
        <v>30</v>
      </c>
      <c r="L730" s="4" t="str" cm="1">
        <f t="array" ref="L730">_xlfn.IFS(K730&gt;=50, "Senior", K730&gt;=30, "Adult", K730&lt;30, "Young Adult")</f>
        <v>Adult</v>
      </c>
      <c r="M730" s="4" t="s">
        <v>8</v>
      </c>
      <c r="N730" s="4">
        <v>4</v>
      </c>
      <c r="O730" s="5">
        <v>500</v>
      </c>
      <c r="P730">
        <f>N730*O730</f>
        <v>2000</v>
      </c>
      <c r="Q730">
        <f>(P730*$U$4)</f>
        <v>30</v>
      </c>
    </row>
    <row r="731" spans="1:17">
      <c r="A731" s="2">
        <v>732</v>
      </c>
      <c r="B731" s="4">
        <f>YEAR(H731)</f>
        <v>2023</v>
      </c>
      <c r="C731" s="4">
        <f>MONTH(H731)</f>
        <v>2</v>
      </c>
      <c r="D731" s="4">
        <f>DAY(H731)</f>
        <v>11</v>
      </c>
      <c r="E731" s="4" t="str">
        <f>TEXT(H731,"dddd")</f>
        <v>Saturday</v>
      </c>
      <c r="F731" s="4" t="str">
        <f t="shared" si="12"/>
        <v>February</v>
      </c>
      <c r="G731" s="4"/>
      <c r="H731" s="3">
        <v>44968</v>
      </c>
      <c r="I731" s="4" t="s">
        <v>765</v>
      </c>
      <c r="J731" s="4" t="s">
        <v>27</v>
      </c>
      <c r="K731" s="4">
        <v>30</v>
      </c>
      <c r="L731" s="4" t="str" cm="1">
        <f t="array" ref="L731">_xlfn.IFS(K731&gt;=50, "Senior", K731&gt;=30, "Adult", K731&lt;30, "Young Adult")</f>
        <v>Adult</v>
      </c>
      <c r="M731" s="4" t="s">
        <v>10</v>
      </c>
      <c r="N731" s="4">
        <v>2</v>
      </c>
      <c r="O731" s="5">
        <v>500</v>
      </c>
      <c r="P731">
        <f>N731*O731</f>
        <v>1000</v>
      </c>
      <c r="Q731">
        <f>(P731*$U$4)</f>
        <v>15</v>
      </c>
    </row>
    <row r="732" spans="1:17">
      <c r="A732" s="2">
        <v>733</v>
      </c>
      <c r="B732" s="4">
        <f>YEAR(H732)</f>
        <v>2023</v>
      </c>
      <c r="C732" s="4">
        <f>MONTH(H732)</f>
        <v>8</v>
      </c>
      <c r="D732" s="4">
        <f>DAY(H732)</f>
        <v>29</v>
      </c>
      <c r="E732" s="4" t="str">
        <f>TEXT(H732,"dddd")</f>
        <v>Tuesday</v>
      </c>
      <c r="F732" s="4" t="str">
        <f t="shared" si="12"/>
        <v>August</v>
      </c>
      <c r="G732" s="4"/>
      <c r="H732" s="3">
        <v>45167</v>
      </c>
      <c r="I732" s="4" t="s">
        <v>766</v>
      </c>
      <c r="J732" s="4" t="s">
        <v>27</v>
      </c>
      <c r="K732" s="4">
        <v>30</v>
      </c>
      <c r="L732" s="4" t="str" cm="1">
        <f t="array" ref="L732">_xlfn.IFS(K732&gt;=50, "Senior", K732&gt;=30, "Adult", K732&lt;30, "Young Adult")</f>
        <v>Adult</v>
      </c>
      <c r="M732" s="4" t="s">
        <v>3</v>
      </c>
      <c r="N732" s="4">
        <v>1</v>
      </c>
      <c r="O732" s="5">
        <v>30</v>
      </c>
      <c r="P732">
        <f>N732*O732</f>
        <v>30</v>
      </c>
      <c r="Q732">
        <f>(P732*$U$4)</f>
        <v>0.44999999999999996</v>
      </c>
    </row>
    <row r="733" spans="1:17">
      <c r="A733" s="2">
        <v>734</v>
      </c>
      <c r="B733" s="4">
        <f>YEAR(H733)</f>
        <v>2023</v>
      </c>
      <c r="C733" s="4">
        <f>MONTH(H733)</f>
        <v>1</v>
      </c>
      <c r="D733" s="4">
        <f>DAY(H733)</f>
        <v>10</v>
      </c>
      <c r="E733" s="4" t="str">
        <f>TEXT(H733,"dddd")</f>
        <v>Tuesday</v>
      </c>
      <c r="F733" s="4" t="str">
        <f t="shared" si="12"/>
        <v>January</v>
      </c>
      <c r="G733" s="4"/>
      <c r="H733" s="3">
        <v>44936</v>
      </c>
      <c r="I733" s="4" t="s">
        <v>767</v>
      </c>
      <c r="J733" s="4" t="s">
        <v>29</v>
      </c>
      <c r="K733" s="4">
        <v>30</v>
      </c>
      <c r="L733" s="4" t="str" cm="1">
        <f t="array" ref="L733">_xlfn.IFS(K733&gt;=50, "Senior", K733&gt;=30, "Adult", K733&lt;30, "Young Adult")</f>
        <v>Adult</v>
      </c>
      <c r="M733" s="4" t="s">
        <v>8</v>
      </c>
      <c r="N733" s="4">
        <v>1</v>
      </c>
      <c r="O733" s="5">
        <v>30</v>
      </c>
      <c r="P733">
        <f>N733*O733</f>
        <v>30</v>
      </c>
      <c r="Q733">
        <f>(P733*$U$4)</f>
        <v>0.44999999999999996</v>
      </c>
    </row>
    <row r="734" spans="1:17">
      <c r="A734" s="2">
        <v>735</v>
      </c>
      <c r="B734" s="4">
        <f>YEAR(H734)</f>
        <v>2023</v>
      </c>
      <c r="C734" s="4">
        <f>MONTH(H734)</f>
        <v>10</v>
      </c>
      <c r="D734" s="4">
        <f>DAY(H734)</f>
        <v>4</v>
      </c>
      <c r="E734" s="4" t="str">
        <f>TEXT(H734,"dddd")</f>
        <v>Wednesday</v>
      </c>
      <c r="F734" s="4" t="str">
        <f t="shared" si="12"/>
        <v>October</v>
      </c>
      <c r="G734" s="4"/>
      <c r="H734" s="3">
        <v>45203</v>
      </c>
      <c r="I734" s="4" t="s">
        <v>768</v>
      </c>
      <c r="J734" s="4" t="s">
        <v>29</v>
      </c>
      <c r="K734" s="4">
        <v>30</v>
      </c>
      <c r="L734" s="4" t="str" cm="1">
        <f t="array" ref="L734">_xlfn.IFS(K734&gt;=50, "Senior", K734&gt;=30, "Adult", K734&lt;30, "Young Adult")</f>
        <v>Adult</v>
      </c>
      <c r="M734" s="4" t="s">
        <v>8</v>
      </c>
      <c r="N734" s="4">
        <v>4</v>
      </c>
      <c r="O734" s="5">
        <v>500</v>
      </c>
      <c r="P734">
        <f>N734*O734</f>
        <v>2000</v>
      </c>
      <c r="Q734">
        <f>(P734*$U$4)</f>
        <v>30</v>
      </c>
    </row>
    <row r="735" spans="1:17">
      <c r="A735" s="2">
        <v>736</v>
      </c>
      <c r="B735" s="4">
        <f>YEAR(H735)</f>
        <v>2023</v>
      </c>
      <c r="C735" s="4">
        <f>MONTH(H735)</f>
        <v>1</v>
      </c>
      <c r="D735" s="4">
        <f>DAY(H735)</f>
        <v>27</v>
      </c>
      <c r="E735" s="4" t="str">
        <f>TEXT(H735,"dddd")</f>
        <v>Friday</v>
      </c>
      <c r="F735" s="4" t="str">
        <f t="shared" si="12"/>
        <v>January</v>
      </c>
      <c r="G735" s="4"/>
      <c r="H735" s="3">
        <v>44953</v>
      </c>
      <c r="I735" s="4" t="s">
        <v>769</v>
      </c>
      <c r="J735" s="4" t="s">
        <v>27</v>
      </c>
      <c r="K735" s="4">
        <v>30</v>
      </c>
      <c r="L735" s="4" t="str" cm="1">
        <f t="array" ref="L735">_xlfn.IFS(K735&gt;=50, "Senior", K735&gt;=30, "Adult", K735&lt;30, "Young Adult")</f>
        <v>Adult</v>
      </c>
      <c r="M735" s="4" t="s">
        <v>8</v>
      </c>
      <c r="N735" s="4">
        <v>4</v>
      </c>
      <c r="O735" s="5">
        <v>25</v>
      </c>
      <c r="P735">
        <f>N735*O735</f>
        <v>100</v>
      </c>
      <c r="Q735">
        <f>(P735*$U$4)</f>
        <v>1.5</v>
      </c>
    </row>
    <row r="736" spans="1:17">
      <c r="A736" s="2">
        <v>737</v>
      </c>
      <c r="B736" s="4">
        <f>YEAR(H736)</f>
        <v>2023</v>
      </c>
      <c r="C736" s="4">
        <f>MONTH(H736)</f>
        <v>6</v>
      </c>
      <c r="D736" s="4">
        <f>DAY(H736)</f>
        <v>29</v>
      </c>
      <c r="E736" s="4" t="str">
        <f>TEXT(H736,"dddd")</f>
        <v>Thursday</v>
      </c>
      <c r="F736" s="4" t="str">
        <f t="shared" si="12"/>
        <v>June</v>
      </c>
      <c r="G736" s="4"/>
      <c r="H736" s="3">
        <v>45106</v>
      </c>
      <c r="I736" s="4" t="s">
        <v>770</v>
      </c>
      <c r="J736" s="4" t="s">
        <v>29</v>
      </c>
      <c r="K736" s="4">
        <v>30</v>
      </c>
      <c r="L736" s="4" t="str" cm="1">
        <f t="array" ref="L736">_xlfn.IFS(K736&gt;=50, "Senior", K736&gt;=30, "Adult", K736&lt;30, "Young Adult")</f>
        <v>Adult</v>
      </c>
      <c r="M736" s="4" t="s">
        <v>8</v>
      </c>
      <c r="N736" s="4">
        <v>1</v>
      </c>
      <c r="O736" s="5">
        <v>50</v>
      </c>
      <c r="P736">
        <f>N736*O736</f>
        <v>50</v>
      </c>
      <c r="Q736">
        <f>(P736*$U$4)</f>
        <v>0.75</v>
      </c>
    </row>
    <row r="737" spans="1:17">
      <c r="A737" s="2">
        <v>738</v>
      </c>
      <c r="B737" s="4">
        <f>YEAR(H737)</f>
        <v>2023</v>
      </c>
      <c r="C737" s="4">
        <f>MONTH(H737)</f>
        <v>4</v>
      </c>
      <c r="D737" s="4">
        <f>DAY(H737)</f>
        <v>25</v>
      </c>
      <c r="E737" s="4" t="str">
        <f>TEXT(H737,"dddd")</f>
        <v>Tuesday</v>
      </c>
      <c r="F737" s="4" t="str">
        <f t="shared" si="12"/>
        <v>April</v>
      </c>
      <c r="G737" s="4"/>
      <c r="H737" s="3">
        <v>45041</v>
      </c>
      <c r="I737" s="4" t="s">
        <v>771</v>
      </c>
      <c r="J737" s="4" t="s">
        <v>27</v>
      </c>
      <c r="K737" s="4">
        <v>30</v>
      </c>
      <c r="L737" s="4" t="str" cm="1">
        <f t="array" ref="L737">_xlfn.IFS(K737&gt;=50, "Senior", K737&gt;=30, "Adult", K737&lt;30, "Young Adult")</f>
        <v>Adult</v>
      </c>
      <c r="M737" s="4" t="s">
        <v>8</v>
      </c>
      <c r="N737" s="4">
        <v>2</v>
      </c>
      <c r="O737" s="5">
        <v>50</v>
      </c>
      <c r="P737">
        <f>N737*O737</f>
        <v>100</v>
      </c>
      <c r="Q737">
        <f>(P737*$U$4)</f>
        <v>1.5</v>
      </c>
    </row>
    <row r="738" spans="1:17">
      <c r="A738" s="2">
        <v>739</v>
      </c>
      <c r="B738" s="4">
        <f>YEAR(H738)</f>
        <v>2023</v>
      </c>
      <c r="C738" s="4">
        <f>MONTH(H738)</f>
        <v>11</v>
      </c>
      <c r="D738" s="4">
        <f>DAY(H738)</f>
        <v>29</v>
      </c>
      <c r="E738" s="4" t="str">
        <f>TEXT(H738,"dddd")</f>
        <v>Wednesday</v>
      </c>
      <c r="F738" s="4" t="str">
        <f t="shared" si="12"/>
        <v>November</v>
      </c>
      <c r="G738" s="4"/>
      <c r="H738" s="3">
        <v>45259</v>
      </c>
      <c r="I738" s="4" t="s">
        <v>772</v>
      </c>
      <c r="J738" s="4" t="s">
        <v>27</v>
      </c>
      <c r="K738" s="4">
        <v>30</v>
      </c>
      <c r="L738" s="4" t="str" cm="1">
        <f t="array" ref="L738">_xlfn.IFS(K738&gt;=50, "Senior", K738&gt;=30, "Adult", K738&lt;30, "Young Adult")</f>
        <v>Adult</v>
      </c>
      <c r="M738" s="4" t="s">
        <v>3</v>
      </c>
      <c r="N738" s="4">
        <v>1</v>
      </c>
      <c r="O738" s="5">
        <v>25</v>
      </c>
      <c r="P738">
        <f>N738*O738</f>
        <v>25</v>
      </c>
      <c r="Q738">
        <f>(P738*$U$4)</f>
        <v>0.375</v>
      </c>
    </row>
    <row r="739" spans="1:17">
      <c r="A739" s="2">
        <v>740</v>
      </c>
      <c r="B739" s="4">
        <f>YEAR(H739)</f>
        <v>2023</v>
      </c>
      <c r="C739" s="4">
        <f>MONTH(H739)</f>
        <v>2</v>
      </c>
      <c r="D739" s="4">
        <f>DAY(H739)</f>
        <v>5</v>
      </c>
      <c r="E739" s="4" t="str">
        <f>TEXT(H739,"dddd")</f>
        <v>Sunday</v>
      </c>
      <c r="F739" s="4" t="str">
        <f t="shared" si="12"/>
        <v>February</v>
      </c>
      <c r="G739" s="4"/>
      <c r="H739" s="3">
        <v>44962</v>
      </c>
      <c r="I739" s="4" t="s">
        <v>773</v>
      </c>
      <c r="J739" s="4" t="s">
        <v>29</v>
      </c>
      <c r="K739" s="4">
        <v>30</v>
      </c>
      <c r="L739" s="4" t="str" cm="1">
        <f t="array" ref="L739">_xlfn.IFS(K739&gt;=50, "Senior", K739&gt;=30, "Adult", K739&lt;30, "Young Adult")</f>
        <v>Adult</v>
      </c>
      <c r="M739" s="4" t="s">
        <v>3</v>
      </c>
      <c r="N739" s="4">
        <v>4</v>
      </c>
      <c r="O739" s="5">
        <v>50</v>
      </c>
      <c r="P739">
        <f>N739*O739</f>
        <v>200</v>
      </c>
      <c r="Q739">
        <f>(P739*$U$4)</f>
        <v>3</v>
      </c>
    </row>
    <row r="740" spans="1:17">
      <c r="A740" s="2">
        <v>741</v>
      </c>
      <c r="B740" s="4">
        <f>YEAR(H740)</f>
        <v>2023</v>
      </c>
      <c r="C740" s="4">
        <f>MONTH(H740)</f>
        <v>11</v>
      </c>
      <c r="D740" s="4">
        <f>DAY(H740)</f>
        <v>30</v>
      </c>
      <c r="E740" s="4" t="str">
        <f>TEXT(H740,"dddd")</f>
        <v>Thursday</v>
      </c>
      <c r="F740" s="4" t="str">
        <f t="shared" si="12"/>
        <v>November</v>
      </c>
      <c r="G740" s="4"/>
      <c r="H740" s="3">
        <v>45260</v>
      </c>
      <c r="I740" s="4" t="s">
        <v>774</v>
      </c>
      <c r="J740" s="4" t="s">
        <v>27</v>
      </c>
      <c r="K740" s="4">
        <v>30</v>
      </c>
      <c r="L740" s="4" t="str" cm="1">
        <f t="array" ref="L740">_xlfn.IFS(K740&gt;=50, "Senior", K740&gt;=30, "Adult", K740&lt;30, "Young Adult")</f>
        <v>Adult</v>
      </c>
      <c r="M740" s="4" t="s">
        <v>8</v>
      </c>
      <c r="N740" s="4">
        <v>1</v>
      </c>
      <c r="O740" s="5">
        <v>300</v>
      </c>
      <c r="P740">
        <f>N740*O740</f>
        <v>300</v>
      </c>
      <c r="Q740">
        <f>(P740*$U$4)</f>
        <v>4.5</v>
      </c>
    </row>
    <row r="741" spans="1:17">
      <c r="A741" s="2">
        <v>742</v>
      </c>
      <c r="B741" s="4">
        <f>YEAR(H741)</f>
        <v>2023</v>
      </c>
      <c r="C741" s="4">
        <f>MONTH(H741)</f>
        <v>1</v>
      </c>
      <c r="D741" s="4">
        <f>DAY(H741)</f>
        <v>21</v>
      </c>
      <c r="E741" s="4" t="str">
        <f>TEXT(H741,"dddd")</f>
        <v>Saturday</v>
      </c>
      <c r="F741" s="4" t="str">
        <f t="shared" si="12"/>
        <v>January</v>
      </c>
      <c r="G741" s="4"/>
      <c r="H741" s="3">
        <v>44947</v>
      </c>
      <c r="I741" s="4" t="s">
        <v>775</v>
      </c>
      <c r="J741" s="4" t="s">
        <v>29</v>
      </c>
      <c r="K741" s="4">
        <v>30</v>
      </c>
      <c r="L741" s="4" t="str" cm="1">
        <f t="array" ref="L741">_xlfn.IFS(K741&gt;=50, "Senior", K741&gt;=30, "Adult", K741&lt;30, "Young Adult")</f>
        <v>Adult</v>
      </c>
      <c r="M741" s="4" t="s">
        <v>10</v>
      </c>
      <c r="N741" s="4">
        <v>4</v>
      </c>
      <c r="O741" s="5">
        <v>500</v>
      </c>
      <c r="P741">
        <f>N741*O741</f>
        <v>2000</v>
      </c>
      <c r="Q741">
        <f>(P741*$U$4)</f>
        <v>30</v>
      </c>
    </row>
    <row r="742" spans="1:17">
      <c r="A742" s="2">
        <v>743</v>
      </c>
      <c r="B742" s="4">
        <f>YEAR(H742)</f>
        <v>2023</v>
      </c>
      <c r="C742" s="4">
        <f>MONTH(H742)</f>
        <v>1</v>
      </c>
      <c r="D742" s="4">
        <f>DAY(H742)</f>
        <v>16</v>
      </c>
      <c r="E742" s="4" t="str">
        <f>TEXT(H742,"dddd")</f>
        <v>Monday</v>
      </c>
      <c r="F742" s="4" t="str">
        <f t="shared" si="12"/>
        <v>January</v>
      </c>
      <c r="G742" s="4"/>
      <c r="H742" s="3">
        <v>44942</v>
      </c>
      <c r="I742" s="4" t="s">
        <v>776</v>
      </c>
      <c r="J742" s="4" t="s">
        <v>29</v>
      </c>
      <c r="K742" s="4">
        <v>30</v>
      </c>
      <c r="L742" s="4" t="str" cm="1">
        <f t="array" ref="L742">_xlfn.IFS(K742&gt;=50, "Senior", K742&gt;=30, "Adult", K742&lt;30, "Young Adult")</f>
        <v>Adult</v>
      </c>
      <c r="M742" s="4" t="s">
        <v>3</v>
      </c>
      <c r="N742" s="4">
        <v>4</v>
      </c>
      <c r="O742" s="5">
        <v>500</v>
      </c>
      <c r="P742">
        <f>N742*O742</f>
        <v>2000</v>
      </c>
      <c r="Q742">
        <f>(P742*$U$4)</f>
        <v>30</v>
      </c>
    </row>
    <row r="743" spans="1:17">
      <c r="A743" s="2">
        <v>744</v>
      </c>
      <c r="B743" s="4">
        <f>YEAR(H743)</f>
        <v>2023</v>
      </c>
      <c r="C743" s="4">
        <f>MONTH(H743)</f>
        <v>5</v>
      </c>
      <c r="D743" s="4">
        <f>DAY(H743)</f>
        <v>7</v>
      </c>
      <c r="E743" s="4" t="str">
        <f>TEXT(H743,"dddd")</f>
        <v>Sunday</v>
      </c>
      <c r="F743" s="4" t="str">
        <f t="shared" si="12"/>
        <v>May</v>
      </c>
      <c r="G743" s="4"/>
      <c r="H743" s="3">
        <v>45053</v>
      </c>
      <c r="I743" s="4" t="s">
        <v>777</v>
      </c>
      <c r="J743" s="4" t="s">
        <v>27</v>
      </c>
      <c r="K743" s="4">
        <v>30</v>
      </c>
      <c r="L743" s="4" t="str" cm="1">
        <f t="array" ref="L743">_xlfn.IFS(K743&gt;=50, "Senior", K743&gt;=30, "Adult", K743&lt;30, "Young Adult")</f>
        <v>Adult</v>
      </c>
      <c r="M743" s="4" t="s">
        <v>10</v>
      </c>
      <c r="N743" s="4">
        <v>1</v>
      </c>
      <c r="O743" s="5">
        <v>25</v>
      </c>
      <c r="P743">
        <f>N743*O743</f>
        <v>25</v>
      </c>
      <c r="Q743">
        <f>(P743*$U$4)</f>
        <v>0.375</v>
      </c>
    </row>
    <row r="744" spans="1:17">
      <c r="A744" s="2">
        <v>745</v>
      </c>
      <c r="B744" s="4">
        <f>YEAR(H744)</f>
        <v>2023</v>
      </c>
      <c r="C744" s="4">
        <f>MONTH(H744)</f>
        <v>4</v>
      </c>
      <c r="D744" s="4">
        <f>DAY(H744)</f>
        <v>13</v>
      </c>
      <c r="E744" s="4" t="str">
        <f>TEXT(H744,"dddd")</f>
        <v>Thursday</v>
      </c>
      <c r="F744" s="4" t="str">
        <f t="shared" si="12"/>
        <v>April</v>
      </c>
      <c r="G744" s="4"/>
      <c r="H744" s="3">
        <v>45029</v>
      </c>
      <c r="I744" s="4" t="s">
        <v>778</v>
      </c>
      <c r="J744" s="4" t="s">
        <v>27</v>
      </c>
      <c r="K744" s="4">
        <v>30</v>
      </c>
      <c r="L744" s="4" t="str" cm="1">
        <f t="array" ref="L744">_xlfn.IFS(K744&gt;=50, "Senior", K744&gt;=30, "Adult", K744&lt;30, "Young Adult")</f>
        <v>Adult</v>
      </c>
      <c r="M744" s="4" t="s">
        <v>3</v>
      </c>
      <c r="N744" s="4">
        <v>2</v>
      </c>
      <c r="O744" s="5">
        <v>50</v>
      </c>
      <c r="P744">
        <f>N744*O744</f>
        <v>100</v>
      </c>
      <c r="Q744">
        <f>(P744*$U$4)</f>
        <v>1.5</v>
      </c>
    </row>
    <row r="745" spans="1:17">
      <c r="A745" s="2">
        <v>746</v>
      </c>
      <c r="B745" s="4">
        <f>YEAR(H745)</f>
        <v>2023</v>
      </c>
      <c r="C745" s="4">
        <f>MONTH(H745)</f>
        <v>1</v>
      </c>
      <c r="D745" s="4">
        <f>DAY(H745)</f>
        <v>11</v>
      </c>
      <c r="E745" s="4" t="str">
        <f>TEXT(H745,"dddd")</f>
        <v>Wednesday</v>
      </c>
      <c r="F745" s="4" t="str">
        <f t="shared" si="12"/>
        <v>January</v>
      </c>
      <c r="G745" s="4"/>
      <c r="H745" s="3">
        <v>44937</v>
      </c>
      <c r="I745" s="4" t="s">
        <v>779</v>
      </c>
      <c r="J745" s="4" t="s">
        <v>29</v>
      </c>
      <c r="K745" s="4">
        <v>30</v>
      </c>
      <c r="L745" s="4" t="str" cm="1">
        <f t="array" ref="L745">_xlfn.IFS(K745&gt;=50, "Senior", K745&gt;=30, "Adult", K745&lt;30, "Young Adult")</f>
        <v>Adult</v>
      </c>
      <c r="M745" s="4" t="s">
        <v>8</v>
      </c>
      <c r="N745" s="4">
        <v>3</v>
      </c>
      <c r="O745" s="5">
        <v>30</v>
      </c>
      <c r="P745">
        <f>N745*O745</f>
        <v>90</v>
      </c>
      <c r="Q745">
        <f>(P745*$U$4)</f>
        <v>1.3499999999999999</v>
      </c>
    </row>
    <row r="746" spans="1:17">
      <c r="A746" s="2">
        <v>747</v>
      </c>
      <c r="B746" s="4">
        <f>YEAR(H746)</f>
        <v>2023</v>
      </c>
      <c r="C746" s="4">
        <f>MONTH(H746)</f>
        <v>11</v>
      </c>
      <c r="D746" s="4">
        <f>DAY(H746)</f>
        <v>15</v>
      </c>
      <c r="E746" s="4" t="str">
        <f>TEXT(H746,"dddd")</f>
        <v>Wednesday</v>
      </c>
      <c r="F746" s="4" t="str">
        <f t="shared" si="12"/>
        <v>November</v>
      </c>
      <c r="G746" s="4"/>
      <c r="H746" s="3">
        <v>45245</v>
      </c>
      <c r="I746" s="4" t="s">
        <v>780</v>
      </c>
      <c r="J746" s="4" t="s">
        <v>27</v>
      </c>
      <c r="K746" s="4">
        <v>30</v>
      </c>
      <c r="L746" s="4" t="str" cm="1">
        <f t="array" ref="L746">_xlfn.IFS(K746&gt;=50, "Senior", K746&gt;=30, "Adult", K746&lt;30, "Young Adult")</f>
        <v>Adult</v>
      </c>
      <c r="M746" s="4" t="s">
        <v>3</v>
      </c>
      <c r="N746" s="4">
        <v>1</v>
      </c>
      <c r="O746" s="5">
        <v>30</v>
      </c>
      <c r="P746">
        <f>N746*O746</f>
        <v>30</v>
      </c>
      <c r="Q746">
        <f>(P746*$U$4)</f>
        <v>0.44999999999999996</v>
      </c>
    </row>
    <row r="747" spans="1:17">
      <c r="A747" s="2">
        <v>748</v>
      </c>
      <c r="B747" s="4">
        <f>YEAR(H747)</f>
        <v>2023</v>
      </c>
      <c r="C747" s="4">
        <f>MONTH(H747)</f>
        <v>3</v>
      </c>
      <c r="D747" s="4">
        <f>DAY(H747)</f>
        <v>20</v>
      </c>
      <c r="E747" s="4" t="str">
        <f>TEXT(H747,"dddd")</f>
        <v>Monday</v>
      </c>
      <c r="F747" s="4" t="str">
        <f t="shared" si="12"/>
        <v>March</v>
      </c>
      <c r="G747" s="4"/>
      <c r="H747" s="3">
        <v>45005</v>
      </c>
      <c r="I747" s="4" t="s">
        <v>781</v>
      </c>
      <c r="J747" s="4" t="s">
        <v>27</v>
      </c>
      <c r="K747" s="4">
        <v>30</v>
      </c>
      <c r="L747" s="4" t="str" cm="1">
        <f t="array" ref="L747">_xlfn.IFS(K747&gt;=50, "Senior", K747&gt;=30, "Adult", K747&lt;30, "Young Adult")</f>
        <v>Adult</v>
      </c>
      <c r="M747" s="4" t="s">
        <v>8</v>
      </c>
      <c r="N747" s="4">
        <v>3</v>
      </c>
      <c r="O747" s="5">
        <v>50</v>
      </c>
      <c r="P747">
        <f>N747*O747</f>
        <v>150</v>
      </c>
      <c r="Q747">
        <f>(P747*$U$4)</f>
        <v>2.25</v>
      </c>
    </row>
    <row r="748" spans="1:17">
      <c r="A748" s="2">
        <v>749</v>
      </c>
      <c r="B748" s="4">
        <f>YEAR(H748)</f>
        <v>2023</v>
      </c>
      <c r="C748" s="4">
        <f>MONTH(H748)</f>
        <v>5</v>
      </c>
      <c r="D748" s="4">
        <f>DAY(H748)</f>
        <v>3</v>
      </c>
      <c r="E748" s="4" t="str">
        <f>TEXT(H748,"dddd")</f>
        <v>Wednesday</v>
      </c>
      <c r="F748" s="4" t="str">
        <f t="shared" si="12"/>
        <v>May</v>
      </c>
      <c r="G748" s="4"/>
      <c r="H748" s="3">
        <v>45049</v>
      </c>
      <c r="I748" s="4" t="s">
        <v>782</v>
      </c>
      <c r="J748" s="4" t="s">
        <v>27</v>
      </c>
      <c r="K748" s="4">
        <v>30</v>
      </c>
      <c r="L748" s="4" t="str" cm="1">
        <f t="array" ref="L748">_xlfn.IFS(K748&gt;=50, "Senior", K748&gt;=30, "Adult", K748&lt;30, "Young Adult")</f>
        <v>Adult</v>
      </c>
      <c r="M748" s="4" t="s">
        <v>3</v>
      </c>
      <c r="N748" s="4">
        <v>1</v>
      </c>
      <c r="O748" s="5">
        <v>30</v>
      </c>
      <c r="P748">
        <f>N748*O748</f>
        <v>30</v>
      </c>
      <c r="Q748">
        <f>(P748*$U$4)</f>
        <v>0.44999999999999996</v>
      </c>
    </row>
    <row r="749" spans="1:17">
      <c r="A749" s="2">
        <v>750</v>
      </c>
      <c r="B749" s="4">
        <f>YEAR(H749)</f>
        <v>2023</v>
      </c>
      <c r="C749" s="4">
        <f>MONTH(H749)</f>
        <v>3</v>
      </c>
      <c r="D749" s="4">
        <f>DAY(H749)</f>
        <v>6</v>
      </c>
      <c r="E749" s="4" t="str">
        <f>TEXT(H749,"dddd")</f>
        <v>Monday</v>
      </c>
      <c r="F749" s="4" t="str">
        <f t="shared" si="12"/>
        <v>March</v>
      </c>
      <c r="G749" s="4"/>
      <c r="H749" s="3">
        <v>44991</v>
      </c>
      <c r="I749" s="4" t="s">
        <v>783</v>
      </c>
      <c r="J749" s="4" t="s">
        <v>29</v>
      </c>
      <c r="K749" s="4">
        <v>29</v>
      </c>
      <c r="L749" s="4" t="str" cm="1">
        <f t="array" ref="L749">_xlfn.IFS(K749&gt;=50, "Senior", K749&gt;=30, "Adult", K749&lt;30, "Young Adult")</f>
        <v>Young Adult</v>
      </c>
      <c r="M749" s="4" t="s">
        <v>8</v>
      </c>
      <c r="N749" s="4">
        <v>3</v>
      </c>
      <c r="O749" s="5">
        <v>25</v>
      </c>
      <c r="P749">
        <f>N749*O749</f>
        <v>75</v>
      </c>
      <c r="Q749">
        <f>(P749*$U$4)</f>
        <v>1.125</v>
      </c>
    </row>
    <row r="750" spans="1:17">
      <c r="A750" s="2">
        <v>751</v>
      </c>
      <c r="B750" s="4">
        <f>YEAR(H750)</f>
        <v>2023</v>
      </c>
      <c r="C750" s="4">
        <f>MONTH(H750)</f>
        <v>8</v>
      </c>
      <c r="D750" s="4">
        <f>DAY(H750)</f>
        <v>31</v>
      </c>
      <c r="E750" s="4" t="str">
        <f>TEXT(H750,"dddd")</f>
        <v>Thursday</v>
      </c>
      <c r="F750" s="4" t="str">
        <f t="shared" si="12"/>
        <v>August</v>
      </c>
      <c r="G750" s="4"/>
      <c r="H750" s="3">
        <v>45169</v>
      </c>
      <c r="I750" s="4" t="s">
        <v>784</v>
      </c>
      <c r="J750" s="4" t="s">
        <v>29</v>
      </c>
      <c r="K750" s="4">
        <v>29</v>
      </c>
      <c r="L750" s="4" t="str" cm="1">
        <f t="array" ref="L750">_xlfn.IFS(K750&gt;=50, "Senior", K750&gt;=30, "Adult", K750&lt;30, "Young Adult")</f>
        <v>Young Adult</v>
      </c>
      <c r="M750" s="4" t="s">
        <v>8</v>
      </c>
      <c r="N750" s="4">
        <v>2</v>
      </c>
      <c r="O750" s="5">
        <v>25</v>
      </c>
      <c r="P750">
        <f>N750*O750</f>
        <v>50</v>
      </c>
      <c r="Q750">
        <f>(P750*$U$4)</f>
        <v>0.75</v>
      </c>
    </row>
    <row r="751" spans="1:17">
      <c r="A751" s="2">
        <v>752</v>
      </c>
      <c r="B751" s="4">
        <f>YEAR(H751)</f>
        <v>2023</v>
      </c>
      <c r="C751" s="4">
        <f>MONTH(H751)</f>
        <v>12</v>
      </c>
      <c r="D751" s="4">
        <f>DAY(H751)</f>
        <v>9</v>
      </c>
      <c r="E751" s="4" t="str">
        <f>TEXT(H751,"dddd")</f>
        <v>Saturday</v>
      </c>
      <c r="F751" s="4" t="str">
        <f t="shared" si="12"/>
        <v>December</v>
      </c>
      <c r="G751" s="4"/>
      <c r="H751" s="3">
        <v>45269</v>
      </c>
      <c r="I751" s="4" t="s">
        <v>785</v>
      </c>
      <c r="J751" s="4" t="s">
        <v>27</v>
      </c>
      <c r="K751" s="4">
        <v>29</v>
      </c>
      <c r="L751" s="4" t="str" cm="1">
        <f t="array" ref="L751">_xlfn.IFS(K751&gt;=50, "Senior", K751&gt;=30, "Adult", K751&lt;30, "Young Adult")</f>
        <v>Young Adult</v>
      </c>
      <c r="M751" s="4" t="s">
        <v>8</v>
      </c>
      <c r="N751" s="4">
        <v>2</v>
      </c>
      <c r="O751" s="5">
        <v>50</v>
      </c>
      <c r="P751">
        <f>N751*O751</f>
        <v>100</v>
      </c>
      <c r="Q751">
        <f>(P751*$U$4)</f>
        <v>1.5</v>
      </c>
    </row>
    <row r="752" spans="1:17">
      <c r="A752" s="2">
        <v>753</v>
      </c>
      <c r="B752" s="4">
        <f>YEAR(H752)</f>
        <v>2023</v>
      </c>
      <c r="C752" s="4">
        <f>MONTH(H752)</f>
        <v>2</v>
      </c>
      <c r="D752" s="4">
        <f>DAY(H752)</f>
        <v>28</v>
      </c>
      <c r="E752" s="4" t="str">
        <f>TEXT(H752,"dddd")</f>
        <v>Tuesday</v>
      </c>
      <c r="F752" s="4" t="str">
        <f t="shared" si="12"/>
        <v>February</v>
      </c>
      <c r="G752" s="4"/>
      <c r="H752" s="3">
        <v>44985</v>
      </c>
      <c r="I752" s="4" t="s">
        <v>786</v>
      </c>
      <c r="J752" s="4" t="s">
        <v>29</v>
      </c>
      <c r="K752" s="4">
        <v>29</v>
      </c>
      <c r="L752" s="4" t="str" cm="1">
        <f t="array" ref="L752">_xlfn.IFS(K752&gt;=50, "Senior", K752&gt;=30, "Adult", K752&lt;30, "Young Adult")</f>
        <v>Young Adult</v>
      </c>
      <c r="M752" s="4" t="s">
        <v>8</v>
      </c>
      <c r="N752" s="4">
        <v>1</v>
      </c>
      <c r="O752" s="5">
        <v>30</v>
      </c>
      <c r="P752">
        <f>N752*O752</f>
        <v>30</v>
      </c>
      <c r="Q752">
        <f>(P752*$U$4)</f>
        <v>0.44999999999999996</v>
      </c>
    </row>
    <row r="753" spans="1:17">
      <c r="A753" s="2">
        <v>754</v>
      </c>
      <c r="B753" s="4">
        <f>YEAR(H753)</f>
        <v>2023</v>
      </c>
      <c r="C753" s="4">
        <f>MONTH(H753)</f>
        <v>10</v>
      </c>
      <c r="D753" s="4">
        <f>DAY(H753)</f>
        <v>16</v>
      </c>
      <c r="E753" s="4" t="str">
        <f>TEXT(H753,"dddd")</f>
        <v>Monday</v>
      </c>
      <c r="F753" s="4" t="str">
        <f t="shared" si="12"/>
        <v>October</v>
      </c>
      <c r="G753" s="4"/>
      <c r="H753" s="3">
        <v>45215</v>
      </c>
      <c r="I753" s="4" t="s">
        <v>787</v>
      </c>
      <c r="J753" s="4" t="s">
        <v>29</v>
      </c>
      <c r="K753" s="4">
        <v>29</v>
      </c>
      <c r="L753" s="4" t="str" cm="1">
        <f t="array" ref="L753">_xlfn.IFS(K753&gt;=50, "Senior", K753&gt;=30, "Adult", K753&lt;30, "Young Adult")</f>
        <v>Young Adult</v>
      </c>
      <c r="M753" s="4" t="s">
        <v>10</v>
      </c>
      <c r="N753" s="4">
        <v>4</v>
      </c>
      <c r="O753" s="5">
        <v>25</v>
      </c>
      <c r="P753">
        <f>N753*O753</f>
        <v>100</v>
      </c>
      <c r="Q753">
        <f>(P753*$U$4)</f>
        <v>1.5</v>
      </c>
    </row>
    <row r="754" spans="1:17">
      <c r="A754" s="2">
        <v>755</v>
      </c>
      <c r="B754" s="4">
        <f>YEAR(H754)</f>
        <v>2023</v>
      </c>
      <c r="C754" s="4">
        <f>MONTH(H754)</f>
        <v>4</v>
      </c>
      <c r="D754" s="4">
        <f>DAY(H754)</f>
        <v>22</v>
      </c>
      <c r="E754" s="4" t="str">
        <f>TEXT(H754,"dddd")</f>
        <v>Saturday</v>
      </c>
      <c r="F754" s="4" t="str">
        <f t="shared" si="12"/>
        <v>April</v>
      </c>
      <c r="G754" s="4"/>
      <c r="H754" s="3">
        <v>45038</v>
      </c>
      <c r="I754" s="4" t="s">
        <v>788</v>
      </c>
      <c r="J754" s="4" t="s">
        <v>29</v>
      </c>
      <c r="K754" s="4">
        <v>29</v>
      </c>
      <c r="L754" s="4" t="str" cm="1">
        <f t="array" ref="L754">_xlfn.IFS(K754&gt;=50, "Senior", K754&gt;=30, "Adult", K754&lt;30, "Young Adult")</f>
        <v>Young Adult</v>
      </c>
      <c r="M754" s="4" t="s">
        <v>8</v>
      </c>
      <c r="N754" s="4">
        <v>3</v>
      </c>
      <c r="O754" s="5">
        <v>25</v>
      </c>
      <c r="P754">
        <f>N754*O754</f>
        <v>75</v>
      </c>
      <c r="Q754">
        <f>(P754*$U$4)</f>
        <v>1.125</v>
      </c>
    </row>
    <row r="755" spans="1:17">
      <c r="A755" s="2">
        <v>756</v>
      </c>
      <c r="B755" s="4">
        <f>YEAR(H755)</f>
        <v>2023</v>
      </c>
      <c r="C755" s="4">
        <f>MONTH(H755)</f>
        <v>8</v>
      </c>
      <c r="D755" s="4">
        <f>DAY(H755)</f>
        <v>27</v>
      </c>
      <c r="E755" s="4" t="str">
        <f>TEXT(H755,"dddd")</f>
        <v>Sunday</v>
      </c>
      <c r="F755" s="4" t="str">
        <f t="shared" si="12"/>
        <v>August</v>
      </c>
      <c r="G755" s="4"/>
      <c r="H755" s="3">
        <v>45165</v>
      </c>
      <c r="I755" s="4" t="s">
        <v>789</v>
      </c>
      <c r="J755" s="4" t="s">
        <v>29</v>
      </c>
      <c r="K755" s="4">
        <v>29</v>
      </c>
      <c r="L755" s="4" t="str" cm="1">
        <f t="array" ref="L755">_xlfn.IFS(K755&gt;=50, "Senior", K755&gt;=30, "Adult", K755&lt;30, "Young Adult")</f>
        <v>Young Adult</v>
      </c>
      <c r="M755" s="4" t="s">
        <v>10</v>
      </c>
      <c r="N755" s="4">
        <v>4</v>
      </c>
      <c r="O755" s="5">
        <v>300</v>
      </c>
      <c r="P755">
        <f>N755*O755</f>
        <v>1200</v>
      </c>
      <c r="Q755">
        <f>(P755*$U$4)</f>
        <v>18</v>
      </c>
    </row>
    <row r="756" spans="1:17">
      <c r="A756" s="2">
        <v>757</v>
      </c>
      <c r="B756" s="4">
        <f>YEAR(H756)</f>
        <v>2023</v>
      </c>
      <c r="C756" s="4">
        <f>MONTH(H756)</f>
        <v>12</v>
      </c>
      <c r="D756" s="4">
        <f>DAY(H756)</f>
        <v>25</v>
      </c>
      <c r="E756" s="4" t="str">
        <f>TEXT(H756,"dddd")</f>
        <v>Monday</v>
      </c>
      <c r="F756" s="4" t="str">
        <f t="shared" si="12"/>
        <v>December</v>
      </c>
      <c r="G756" s="4"/>
      <c r="H756" s="3">
        <v>45285</v>
      </c>
      <c r="I756" s="4" t="s">
        <v>790</v>
      </c>
      <c r="J756" s="4" t="s">
        <v>29</v>
      </c>
      <c r="K756" s="4">
        <v>29</v>
      </c>
      <c r="L756" s="4" t="str" cm="1">
        <f t="array" ref="L756">_xlfn.IFS(K756&gt;=50, "Senior", K756&gt;=30, "Adult", K756&lt;30, "Young Adult")</f>
        <v>Young Adult</v>
      </c>
      <c r="M756" s="4" t="s">
        <v>10</v>
      </c>
      <c r="N756" s="4">
        <v>4</v>
      </c>
      <c r="O756" s="5">
        <v>300</v>
      </c>
      <c r="P756">
        <f>N756*O756</f>
        <v>1200</v>
      </c>
      <c r="Q756">
        <f>(P756*$U$4)</f>
        <v>18</v>
      </c>
    </row>
    <row r="757" spans="1:17">
      <c r="A757" s="2">
        <v>758</v>
      </c>
      <c r="B757" s="4">
        <f>YEAR(H757)</f>
        <v>2023</v>
      </c>
      <c r="C757" s="4">
        <f>MONTH(H757)</f>
        <v>5</v>
      </c>
      <c r="D757" s="4">
        <f>DAY(H757)</f>
        <v>12</v>
      </c>
      <c r="E757" s="4" t="str">
        <f>TEXT(H757,"dddd")</f>
        <v>Friday</v>
      </c>
      <c r="F757" s="4" t="str">
        <f t="shared" si="12"/>
        <v>May</v>
      </c>
      <c r="G757" s="4"/>
      <c r="H757" s="3">
        <v>45058</v>
      </c>
      <c r="I757" s="4" t="s">
        <v>791</v>
      </c>
      <c r="J757" s="4" t="s">
        <v>27</v>
      </c>
      <c r="K757" s="4">
        <v>29</v>
      </c>
      <c r="L757" s="4" t="str" cm="1">
        <f t="array" ref="L757">_xlfn.IFS(K757&gt;=50, "Senior", K757&gt;=30, "Adult", K757&lt;30, "Young Adult")</f>
        <v>Young Adult</v>
      </c>
      <c r="M757" s="4" t="s">
        <v>8</v>
      </c>
      <c r="N757" s="4">
        <v>4</v>
      </c>
      <c r="O757" s="5">
        <v>25</v>
      </c>
      <c r="P757">
        <f>N757*O757</f>
        <v>100</v>
      </c>
      <c r="Q757">
        <f>(P757*$U$4)</f>
        <v>1.5</v>
      </c>
    </row>
    <row r="758" spans="1:17">
      <c r="A758" s="2">
        <v>759</v>
      </c>
      <c r="B758" s="4">
        <f>YEAR(H758)</f>
        <v>2023</v>
      </c>
      <c r="C758" s="4">
        <f>MONTH(H758)</f>
        <v>7</v>
      </c>
      <c r="D758" s="4">
        <f>DAY(H758)</f>
        <v>8</v>
      </c>
      <c r="E758" s="4" t="str">
        <f>TEXT(H758,"dddd")</f>
        <v>Saturday</v>
      </c>
      <c r="F758" s="4" t="str">
        <f t="shared" si="12"/>
        <v>July</v>
      </c>
      <c r="G758" s="4"/>
      <c r="H758" s="3">
        <v>45115</v>
      </c>
      <c r="I758" s="4" t="s">
        <v>792</v>
      </c>
      <c r="J758" s="4" t="s">
        <v>27</v>
      </c>
      <c r="K758" s="4">
        <v>29</v>
      </c>
      <c r="L758" s="4" t="str" cm="1">
        <f t="array" ref="L758">_xlfn.IFS(K758&gt;=50, "Senior", K758&gt;=30, "Adult", K758&lt;30, "Young Adult")</f>
        <v>Young Adult</v>
      </c>
      <c r="M758" s="4" t="s">
        <v>10</v>
      </c>
      <c r="N758" s="4">
        <v>2</v>
      </c>
      <c r="O758" s="5">
        <v>50</v>
      </c>
      <c r="P758">
        <f>N758*O758</f>
        <v>100</v>
      </c>
      <c r="Q758">
        <f>(P758*$U$4)</f>
        <v>1.5</v>
      </c>
    </row>
    <row r="759" spans="1:17">
      <c r="A759" s="2">
        <v>760</v>
      </c>
      <c r="B759" s="4">
        <f>YEAR(H759)</f>
        <v>2023</v>
      </c>
      <c r="C759" s="4">
        <f>MONTH(H759)</f>
        <v>3</v>
      </c>
      <c r="D759" s="4">
        <f>DAY(H759)</f>
        <v>27</v>
      </c>
      <c r="E759" s="4" t="str">
        <f>TEXT(H759,"dddd")</f>
        <v>Monday</v>
      </c>
      <c r="F759" s="4" t="str">
        <f t="shared" si="12"/>
        <v>March</v>
      </c>
      <c r="G759" s="4"/>
      <c r="H759" s="3">
        <v>45012</v>
      </c>
      <c r="I759" s="4" t="s">
        <v>793</v>
      </c>
      <c r="J759" s="4" t="s">
        <v>27</v>
      </c>
      <c r="K759" s="4">
        <v>29</v>
      </c>
      <c r="L759" s="4" t="str" cm="1">
        <f t="array" ref="L759">_xlfn.IFS(K759&gt;=50, "Senior", K759&gt;=30, "Adult", K759&lt;30, "Young Adult")</f>
        <v>Young Adult</v>
      </c>
      <c r="M759" s="4" t="s">
        <v>3</v>
      </c>
      <c r="N759" s="4">
        <v>1</v>
      </c>
      <c r="O759" s="5">
        <v>500</v>
      </c>
      <c r="P759">
        <f>N759*O759</f>
        <v>500</v>
      </c>
      <c r="Q759">
        <f>(P759*$U$4)</f>
        <v>7.5</v>
      </c>
    </row>
    <row r="760" spans="1:17">
      <c r="A760" s="2">
        <v>761</v>
      </c>
      <c r="B760" s="4">
        <f>YEAR(H760)</f>
        <v>2023</v>
      </c>
      <c r="C760" s="4">
        <f>MONTH(H760)</f>
        <v>11</v>
      </c>
      <c r="D760" s="4">
        <f>DAY(H760)</f>
        <v>7</v>
      </c>
      <c r="E760" s="4" t="str">
        <f>TEXT(H760,"dddd")</f>
        <v>Tuesday</v>
      </c>
      <c r="F760" s="4" t="str">
        <f t="shared" si="12"/>
        <v>November</v>
      </c>
      <c r="G760" s="4"/>
      <c r="H760" s="3">
        <v>45237</v>
      </c>
      <c r="I760" s="4" t="s">
        <v>794</v>
      </c>
      <c r="J760" s="4" t="s">
        <v>29</v>
      </c>
      <c r="K760" s="4">
        <v>29</v>
      </c>
      <c r="L760" s="4" t="str" cm="1">
        <f t="array" ref="L760">_xlfn.IFS(K760&gt;=50, "Senior", K760&gt;=30, "Adult", K760&lt;30, "Young Adult")</f>
        <v>Young Adult</v>
      </c>
      <c r="M760" s="4" t="s">
        <v>8</v>
      </c>
      <c r="N760" s="4">
        <v>1</v>
      </c>
      <c r="O760" s="5">
        <v>500</v>
      </c>
      <c r="P760">
        <f>N760*O760</f>
        <v>500</v>
      </c>
      <c r="Q760">
        <f>(P760*$U$4)</f>
        <v>7.5</v>
      </c>
    </row>
    <row r="761" spans="1:17">
      <c r="A761" s="2">
        <v>762</v>
      </c>
      <c r="B761" s="4">
        <f>YEAR(H761)</f>
        <v>2023</v>
      </c>
      <c r="C761" s="4">
        <f>MONTH(H761)</f>
        <v>11</v>
      </c>
      <c r="D761" s="4">
        <f>DAY(H761)</f>
        <v>7</v>
      </c>
      <c r="E761" s="4" t="str">
        <f>TEXT(H761,"dddd")</f>
        <v>Tuesday</v>
      </c>
      <c r="F761" s="4" t="str">
        <f t="shared" si="12"/>
        <v>November</v>
      </c>
      <c r="G761" s="4"/>
      <c r="H761" s="3">
        <v>45237</v>
      </c>
      <c r="I761" s="4" t="s">
        <v>795</v>
      </c>
      <c r="J761" s="4" t="s">
        <v>29</v>
      </c>
      <c r="K761" s="4">
        <v>29</v>
      </c>
      <c r="L761" s="4" t="str" cm="1">
        <f t="array" ref="L761">_xlfn.IFS(K761&gt;=50, "Senior", K761&gt;=30, "Adult", K761&lt;30, "Young Adult")</f>
        <v>Young Adult</v>
      </c>
      <c r="M761" s="4" t="s">
        <v>10</v>
      </c>
      <c r="N761" s="4">
        <v>2</v>
      </c>
      <c r="O761" s="5">
        <v>25</v>
      </c>
      <c r="P761">
        <f>N761*O761</f>
        <v>50</v>
      </c>
      <c r="Q761">
        <f>(P761*$U$4)</f>
        <v>0.75</v>
      </c>
    </row>
    <row r="762" spans="1:17">
      <c r="A762" s="2">
        <v>763</v>
      </c>
      <c r="B762" s="4">
        <f>YEAR(H762)</f>
        <v>2023</v>
      </c>
      <c r="C762" s="4">
        <f>MONTH(H762)</f>
        <v>2</v>
      </c>
      <c r="D762" s="4">
        <f>DAY(H762)</f>
        <v>28</v>
      </c>
      <c r="E762" s="4" t="str">
        <f>TEXT(H762,"dddd")</f>
        <v>Tuesday</v>
      </c>
      <c r="F762" s="4" t="str">
        <f t="shared" si="12"/>
        <v>February</v>
      </c>
      <c r="G762" s="4"/>
      <c r="H762" s="3">
        <v>44985</v>
      </c>
      <c r="I762" s="4" t="s">
        <v>796</v>
      </c>
      <c r="J762" s="4" t="s">
        <v>27</v>
      </c>
      <c r="K762" s="4">
        <v>29</v>
      </c>
      <c r="L762" s="4" t="str" cm="1">
        <f t="array" ref="L762">_xlfn.IFS(K762&gt;=50, "Senior", K762&gt;=30, "Adult", K762&lt;30, "Young Adult")</f>
        <v>Young Adult</v>
      </c>
      <c r="M762" s="4" t="s">
        <v>8</v>
      </c>
      <c r="N762" s="4">
        <v>2</v>
      </c>
      <c r="O762" s="5">
        <v>25</v>
      </c>
      <c r="P762">
        <f>N762*O762</f>
        <v>50</v>
      </c>
      <c r="Q762">
        <f>(P762*$U$4)</f>
        <v>0.75</v>
      </c>
    </row>
    <row r="763" spans="1:17">
      <c r="A763" s="2">
        <v>764</v>
      </c>
      <c r="B763" s="4">
        <f>YEAR(H763)</f>
        <v>2023</v>
      </c>
      <c r="C763" s="4">
        <f>MONTH(H763)</f>
        <v>3</v>
      </c>
      <c r="D763" s="4">
        <f>DAY(H763)</f>
        <v>25</v>
      </c>
      <c r="E763" s="4" t="str">
        <f>TEXT(H763,"dddd")</f>
        <v>Saturday</v>
      </c>
      <c r="F763" s="4" t="str">
        <f t="shared" si="12"/>
        <v>March</v>
      </c>
      <c r="G763" s="4"/>
      <c r="H763" s="3">
        <v>45010</v>
      </c>
      <c r="I763" s="4" t="s">
        <v>797</v>
      </c>
      <c r="J763" s="4" t="s">
        <v>29</v>
      </c>
      <c r="K763" s="4">
        <v>29</v>
      </c>
      <c r="L763" s="4" t="str" cm="1">
        <f t="array" ref="L763">_xlfn.IFS(K763&gt;=50, "Senior", K763&gt;=30, "Adult", K763&lt;30, "Young Adult")</f>
        <v>Young Adult</v>
      </c>
      <c r="M763" s="4" t="s">
        <v>8</v>
      </c>
      <c r="N763" s="4">
        <v>1</v>
      </c>
      <c r="O763" s="5">
        <v>25</v>
      </c>
      <c r="P763">
        <f>N763*O763</f>
        <v>25</v>
      </c>
      <c r="Q763">
        <f>(P763*$U$4)</f>
        <v>0.375</v>
      </c>
    </row>
    <row r="764" spans="1:17">
      <c r="A764" s="2">
        <v>765</v>
      </c>
      <c r="B764" s="4">
        <f>YEAR(H764)</f>
        <v>2023</v>
      </c>
      <c r="C764" s="4">
        <f>MONTH(H764)</f>
        <v>6</v>
      </c>
      <c r="D764" s="4">
        <f>DAY(H764)</f>
        <v>9</v>
      </c>
      <c r="E764" s="4" t="str">
        <f>TEXT(H764,"dddd")</f>
        <v>Friday</v>
      </c>
      <c r="F764" s="4" t="str">
        <f t="shared" si="12"/>
        <v>June</v>
      </c>
      <c r="G764" s="4"/>
      <c r="H764" s="3">
        <v>45086</v>
      </c>
      <c r="I764" s="4" t="s">
        <v>798</v>
      </c>
      <c r="J764" s="4" t="s">
        <v>27</v>
      </c>
      <c r="K764" s="4">
        <v>29</v>
      </c>
      <c r="L764" s="4" t="str" cm="1">
        <f t="array" ref="L764">_xlfn.IFS(K764&gt;=50, "Senior", K764&gt;=30, "Adult", K764&lt;30, "Young Adult")</f>
        <v>Young Adult</v>
      </c>
      <c r="M764" s="4" t="s">
        <v>8</v>
      </c>
      <c r="N764" s="4">
        <v>4</v>
      </c>
      <c r="O764" s="5">
        <v>50</v>
      </c>
      <c r="P764">
        <f>N764*O764</f>
        <v>200</v>
      </c>
      <c r="Q764">
        <f>(P764*$U$4)</f>
        <v>3</v>
      </c>
    </row>
    <row r="765" spans="1:17">
      <c r="A765" s="2">
        <v>766</v>
      </c>
      <c r="B765" s="4">
        <f>YEAR(H765)</f>
        <v>2023</v>
      </c>
      <c r="C765" s="4">
        <f>MONTH(H765)</f>
        <v>2</v>
      </c>
      <c r="D765" s="4">
        <f>DAY(H765)</f>
        <v>25</v>
      </c>
      <c r="E765" s="4" t="str">
        <f>TEXT(H765,"dddd")</f>
        <v>Saturday</v>
      </c>
      <c r="F765" s="4" t="str">
        <f t="shared" si="12"/>
        <v>February</v>
      </c>
      <c r="G765" s="4"/>
      <c r="H765" s="3">
        <v>44982</v>
      </c>
      <c r="I765" s="4" t="s">
        <v>799</v>
      </c>
      <c r="J765" s="4" t="s">
        <v>27</v>
      </c>
      <c r="K765" s="4">
        <v>28</v>
      </c>
      <c r="L765" s="4" t="str" cm="1">
        <f t="array" ref="L765">_xlfn.IFS(K765&gt;=50, "Senior", K765&gt;=30, "Adult", K765&lt;30, "Young Adult")</f>
        <v>Young Adult</v>
      </c>
      <c r="M765" s="4" t="s">
        <v>10</v>
      </c>
      <c r="N765" s="4">
        <v>3</v>
      </c>
      <c r="O765" s="5">
        <v>300</v>
      </c>
      <c r="P765">
        <f>N765*O765</f>
        <v>900</v>
      </c>
      <c r="Q765">
        <f>(P765*$U$4)</f>
        <v>13.5</v>
      </c>
    </row>
    <row r="766" spans="1:17">
      <c r="A766" s="2">
        <v>767</v>
      </c>
      <c r="B766" s="4">
        <f>YEAR(H766)</f>
        <v>2023</v>
      </c>
      <c r="C766" s="4">
        <f>MONTH(H766)</f>
        <v>10</v>
      </c>
      <c r="D766" s="4">
        <f>DAY(H766)</f>
        <v>24</v>
      </c>
      <c r="E766" s="4" t="str">
        <f>TEXT(H766,"dddd")</f>
        <v>Tuesday</v>
      </c>
      <c r="F766" s="4" t="str">
        <f t="shared" si="12"/>
        <v>October</v>
      </c>
      <c r="G766" s="4"/>
      <c r="H766" s="3">
        <v>45223</v>
      </c>
      <c r="I766" s="4" t="s">
        <v>800</v>
      </c>
      <c r="J766" s="4" t="s">
        <v>27</v>
      </c>
      <c r="K766" s="4">
        <v>28</v>
      </c>
      <c r="L766" s="4" t="str" cm="1">
        <f t="array" ref="L766">_xlfn.IFS(K766&gt;=50, "Senior", K766&gt;=30, "Adult", K766&lt;30, "Young Adult")</f>
        <v>Young Adult</v>
      </c>
      <c r="M766" s="4" t="s">
        <v>3</v>
      </c>
      <c r="N766" s="4">
        <v>3</v>
      </c>
      <c r="O766" s="5">
        <v>25</v>
      </c>
      <c r="P766">
        <f>N766*O766</f>
        <v>75</v>
      </c>
      <c r="Q766">
        <f>(P766*$U$4)</f>
        <v>1.125</v>
      </c>
    </row>
    <row r="767" spans="1:17">
      <c r="A767" s="2">
        <v>768</v>
      </c>
      <c r="B767" s="4">
        <f>YEAR(H767)</f>
        <v>2023</v>
      </c>
      <c r="C767" s="4">
        <f>MONTH(H767)</f>
        <v>1</v>
      </c>
      <c r="D767" s="4">
        <f>DAY(H767)</f>
        <v>14</v>
      </c>
      <c r="E767" s="4" t="str">
        <f>TEXT(H767,"dddd")</f>
        <v>Saturday</v>
      </c>
      <c r="F767" s="4" t="str">
        <f t="shared" si="12"/>
        <v>January</v>
      </c>
      <c r="G767" s="4"/>
      <c r="H767" s="3">
        <v>44940</v>
      </c>
      <c r="I767" s="4" t="s">
        <v>801</v>
      </c>
      <c r="J767" s="4" t="s">
        <v>29</v>
      </c>
      <c r="K767" s="4">
        <v>28</v>
      </c>
      <c r="L767" s="4" t="str" cm="1">
        <f t="array" ref="L767">_xlfn.IFS(K767&gt;=50, "Senior", K767&gt;=30, "Adult", K767&lt;30, "Young Adult")</f>
        <v>Young Adult</v>
      </c>
      <c r="M767" s="4" t="s">
        <v>3</v>
      </c>
      <c r="N767" s="4">
        <v>3</v>
      </c>
      <c r="O767" s="5">
        <v>25</v>
      </c>
      <c r="P767">
        <f>N767*O767</f>
        <v>75</v>
      </c>
      <c r="Q767">
        <f>(P767*$U$4)</f>
        <v>1.125</v>
      </c>
    </row>
    <row r="768" spans="1:17">
      <c r="A768" s="2">
        <v>769</v>
      </c>
      <c r="B768" s="4">
        <f>YEAR(H768)</f>
        <v>2023</v>
      </c>
      <c r="C768" s="4">
        <f>MONTH(H768)</f>
        <v>6</v>
      </c>
      <c r="D768" s="4">
        <f>DAY(H768)</f>
        <v>9</v>
      </c>
      <c r="E768" s="4" t="str">
        <f>TEXT(H768,"dddd")</f>
        <v>Friday</v>
      </c>
      <c r="F768" s="4" t="str">
        <f t="shared" si="12"/>
        <v>June</v>
      </c>
      <c r="G768" s="4"/>
      <c r="H768" s="3">
        <v>45086</v>
      </c>
      <c r="I768" s="4" t="s">
        <v>802</v>
      </c>
      <c r="J768" s="4" t="s">
        <v>29</v>
      </c>
      <c r="K768" s="4">
        <v>28</v>
      </c>
      <c r="L768" s="4" t="str" cm="1">
        <f t="array" ref="L768">_xlfn.IFS(K768&gt;=50, "Senior", K768&gt;=30, "Adult", K768&lt;30, "Young Adult")</f>
        <v>Young Adult</v>
      </c>
      <c r="M768" s="4" t="s">
        <v>10</v>
      </c>
      <c r="N768" s="4">
        <v>4</v>
      </c>
      <c r="O768" s="5">
        <v>30</v>
      </c>
      <c r="P768">
        <f>N768*O768</f>
        <v>120</v>
      </c>
      <c r="Q768">
        <f>(P768*$U$4)</f>
        <v>1.7999999999999998</v>
      </c>
    </row>
    <row r="769" spans="1:17">
      <c r="A769" s="2">
        <v>770</v>
      </c>
      <c r="B769" s="4">
        <f>YEAR(H769)</f>
        <v>2023</v>
      </c>
      <c r="C769" s="4">
        <f>MONTH(H769)</f>
        <v>10</v>
      </c>
      <c r="D769" s="4">
        <f>DAY(H769)</f>
        <v>22</v>
      </c>
      <c r="E769" s="4" t="str">
        <f>TEXT(H769,"dddd")</f>
        <v>Sunday</v>
      </c>
      <c r="F769" s="4" t="str">
        <f t="shared" si="12"/>
        <v>October</v>
      </c>
      <c r="G769" s="4"/>
      <c r="H769" s="3">
        <v>45221</v>
      </c>
      <c r="I769" s="4" t="s">
        <v>803</v>
      </c>
      <c r="J769" s="4" t="s">
        <v>27</v>
      </c>
      <c r="K769" s="4">
        <v>28</v>
      </c>
      <c r="L769" s="4" t="str" cm="1">
        <f t="array" ref="L769">_xlfn.IFS(K769&gt;=50, "Senior", K769&gt;=30, "Adult", K769&lt;30, "Young Adult")</f>
        <v>Young Adult</v>
      </c>
      <c r="M769" s="4" t="s">
        <v>8</v>
      </c>
      <c r="N769" s="4">
        <v>1</v>
      </c>
      <c r="O769" s="5">
        <v>50</v>
      </c>
      <c r="P769">
        <f>N769*O769</f>
        <v>50</v>
      </c>
      <c r="Q769">
        <f>(P769*$U$4)</f>
        <v>0.75</v>
      </c>
    </row>
    <row r="770" spans="1:17">
      <c r="A770" s="2">
        <v>771</v>
      </c>
      <c r="B770" s="4">
        <f>YEAR(H770)</f>
        <v>2023</v>
      </c>
      <c r="C770" s="4">
        <f>MONTH(H770)</f>
        <v>12</v>
      </c>
      <c r="D770" s="4">
        <f>DAY(H770)</f>
        <v>13</v>
      </c>
      <c r="E770" s="4" t="str">
        <f>TEXT(H770,"dddd")</f>
        <v>Wednesday</v>
      </c>
      <c r="F770" s="4" t="str">
        <f t="shared" si="12"/>
        <v>December</v>
      </c>
      <c r="G770" s="4"/>
      <c r="H770" s="3">
        <v>45273</v>
      </c>
      <c r="I770" s="4" t="s">
        <v>804</v>
      </c>
      <c r="J770" s="4" t="s">
        <v>27</v>
      </c>
      <c r="K770" s="4">
        <v>28</v>
      </c>
      <c r="L770" s="4" t="str" cm="1">
        <f t="array" ref="L770">_xlfn.IFS(K770&gt;=50, "Senior", K770&gt;=30, "Adult", K770&lt;30, "Young Adult")</f>
        <v>Young Adult</v>
      </c>
      <c r="M770" s="4" t="s">
        <v>10</v>
      </c>
      <c r="N770" s="4">
        <v>2</v>
      </c>
      <c r="O770" s="5">
        <v>25</v>
      </c>
      <c r="P770">
        <f>N770*O770</f>
        <v>50</v>
      </c>
      <c r="Q770">
        <f>(P770*$U$4)</f>
        <v>0.75</v>
      </c>
    </row>
    <row r="771" spans="1:17">
      <c r="A771" s="2">
        <v>772</v>
      </c>
      <c r="B771" s="4">
        <f>YEAR(H771)</f>
        <v>2023</v>
      </c>
      <c r="C771" s="4">
        <f>MONTH(H771)</f>
        <v>7</v>
      </c>
      <c r="D771" s="4">
        <f>DAY(H771)</f>
        <v>12</v>
      </c>
      <c r="E771" s="4" t="str">
        <f>TEXT(H771,"dddd")</f>
        <v>Wednesday</v>
      </c>
      <c r="F771" s="4" t="str">
        <f t="shared" ref="F771:F834" si="13">TEXT(H771,"mmmm")</f>
        <v>July</v>
      </c>
      <c r="G771" s="4"/>
      <c r="H771" s="3">
        <v>45119</v>
      </c>
      <c r="I771" s="4" t="s">
        <v>805</v>
      </c>
      <c r="J771" s="4" t="s">
        <v>27</v>
      </c>
      <c r="K771" s="4">
        <v>28</v>
      </c>
      <c r="L771" s="4" t="str" cm="1">
        <f t="array" ref="L771">_xlfn.IFS(K771&gt;=50, "Senior", K771&gt;=30, "Adult", K771&lt;30, "Young Adult")</f>
        <v>Young Adult</v>
      </c>
      <c r="M771" s="4" t="s">
        <v>10</v>
      </c>
      <c r="N771" s="4">
        <v>1</v>
      </c>
      <c r="O771" s="5">
        <v>30</v>
      </c>
      <c r="P771">
        <f>N771*O771</f>
        <v>30</v>
      </c>
      <c r="Q771">
        <f>(P771*$U$4)</f>
        <v>0.44999999999999996</v>
      </c>
    </row>
    <row r="772" spans="1:17">
      <c r="A772" s="2">
        <v>773</v>
      </c>
      <c r="B772" s="4">
        <f>YEAR(H772)</f>
        <v>2023</v>
      </c>
      <c r="C772" s="4">
        <f>MONTH(H772)</f>
        <v>7</v>
      </c>
      <c r="D772" s="4">
        <f>DAY(H772)</f>
        <v>23</v>
      </c>
      <c r="E772" s="4" t="str">
        <f>TEXT(H772,"dddd")</f>
        <v>Sunday</v>
      </c>
      <c r="F772" s="4" t="str">
        <f t="shared" si="13"/>
        <v>July</v>
      </c>
      <c r="G772" s="4"/>
      <c r="H772" s="3">
        <v>45130</v>
      </c>
      <c r="I772" s="4" t="s">
        <v>806</v>
      </c>
      <c r="J772" s="4" t="s">
        <v>27</v>
      </c>
      <c r="K772" s="4">
        <v>28</v>
      </c>
      <c r="L772" s="4" t="str" cm="1">
        <f t="array" ref="L772">_xlfn.IFS(K772&gt;=50, "Senior", K772&gt;=30, "Adult", K772&lt;30, "Young Adult")</f>
        <v>Young Adult</v>
      </c>
      <c r="M772" s="4" t="s">
        <v>10</v>
      </c>
      <c r="N772" s="4">
        <v>4</v>
      </c>
      <c r="O772" s="5">
        <v>500</v>
      </c>
      <c r="P772">
        <f>N772*O772</f>
        <v>2000</v>
      </c>
      <c r="Q772">
        <f>(P772*$U$4)</f>
        <v>30</v>
      </c>
    </row>
    <row r="773" spans="1:17">
      <c r="A773" s="2">
        <v>774</v>
      </c>
      <c r="B773" s="4">
        <f>YEAR(H773)</f>
        <v>2023</v>
      </c>
      <c r="C773" s="4">
        <f>MONTH(H773)</f>
        <v>4</v>
      </c>
      <c r="D773" s="4">
        <f>DAY(H773)</f>
        <v>12</v>
      </c>
      <c r="E773" s="4" t="str">
        <f>TEXT(H773,"dddd")</f>
        <v>Wednesday</v>
      </c>
      <c r="F773" s="4" t="str">
        <f t="shared" si="13"/>
        <v>April</v>
      </c>
      <c r="G773" s="4"/>
      <c r="H773" s="3">
        <v>45028</v>
      </c>
      <c r="I773" s="4" t="s">
        <v>807</v>
      </c>
      <c r="J773" s="4" t="s">
        <v>29</v>
      </c>
      <c r="K773" s="4">
        <v>28</v>
      </c>
      <c r="L773" s="4" t="str" cm="1">
        <f t="array" ref="L773">_xlfn.IFS(K773&gt;=50, "Senior", K773&gt;=30, "Adult", K773&lt;30, "Young Adult")</f>
        <v>Young Adult</v>
      </c>
      <c r="M773" s="4" t="s">
        <v>8</v>
      </c>
      <c r="N773" s="4">
        <v>2</v>
      </c>
      <c r="O773" s="5">
        <v>25</v>
      </c>
      <c r="P773">
        <f>N773*O773</f>
        <v>50</v>
      </c>
      <c r="Q773">
        <f>(P773*$U$4)</f>
        <v>0.75</v>
      </c>
    </row>
    <row r="774" spans="1:17">
      <c r="A774" s="2">
        <v>775</v>
      </c>
      <c r="B774" s="4">
        <f>YEAR(H774)</f>
        <v>2023</v>
      </c>
      <c r="C774" s="4">
        <f>MONTH(H774)</f>
        <v>2</v>
      </c>
      <c r="D774" s="4">
        <f>DAY(H774)</f>
        <v>8</v>
      </c>
      <c r="E774" s="4" t="str">
        <f>TEXT(H774,"dddd")</f>
        <v>Wednesday</v>
      </c>
      <c r="F774" s="4" t="str">
        <f t="shared" si="13"/>
        <v>February</v>
      </c>
      <c r="G774" s="4"/>
      <c r="H774" s="3">
        <v>44965</v>
      </c>
      <c r="I774" s="4" t="s">
        <v>808</v>
      </c>
      <c r="J774" s="4" t="s">
        <v>29</v>
      </c>
      <c r="K774" s="4">
        <v>28</v>
      </c>
      <c r="L774" s="4" t="str" cm="1">
        <f t="array" ref="L774">_xlfn.IFS(K774&gt;=50, "Senior", K774&gt;=30, "Adult", K774&lt;30, "Young Adult")</f>
        <v>Young Adult</v>
      </c>
      <c r="M774" s="4" t="s">
        <v>10</v>
      </c>
      <c r="N774" s="4">
        <v>4</v>
      </c>
      <c r="O774" s="5">
        <v>25</v>
      </c>
      <c r="P774">
        <f>N774*O774</f>
        <v>100</v>
      </c>
      <c r="Q774">
        <f>(P774*$U$4)</f>
        <v>1.5</v>
      </c>
    </row>
    <row r="775" spans="1:17">
      <c r="A775" s="2">
        <v>776</v>
      </c>
      <c r="B775" s="4">
        <f>YEAR(H775)</f>
        <v>2023</v>
      </c>
      <c r="C775" s="4">
        <f>MONTH(H775)</f>
        <v>10</v>
      </c>
      <c r="D775" s="4">
        <f>DAY(H775)</f>
        <v>31</v>
      </c>
      <c r="E775" s="4" t="str">
        <f>TEXT(H775,"dddd")</f>
        <v>Tuesday</v>
      </c>
      <c r="F775" s="4" t="str">
        <f t="shared" si="13"/>
        <v>October</v>
      </c>
      <c r="G775" s="4"/>
      <c r="H775" s="3">
        <v>45230</v>
      </c>
      <c r="I775" s="4" t="s">
        <v>809</v>
      </c>
      <c r="J775" s="4" t="s">
        <v>27</v>
      </c>
      <c r="K775" s="4">
        <v>28</v>
      </c>
      <c r="L775" s="4" t="str" cm="1">
        <f t="array" ref="L775">_xlfn.IFS(K775&gt;=50, "Senior", K775&gt;=30, "Adult", K775&lt;30, "Young Adult")</f>
        <v>Young Adult</v>
      </c>
      <c r="M775" s="4" t="s">
        <v>8</v>
      </c>
      <c r="N775" s="4">
        <v>3</v>
      </c>
      <c r="O775" s="5">
        <v>30</v>
      </c>
      <c r="P775">
        <f>N775*O775</f>
        <v>90</v>
      </c>
      <c r="Q775">
        <f>(P775*$U$4)</f>
        <v>1.3499999999999999</v>
      </c>
    </row>
    <row r="776" spans="1:17">
      <c r="A776" s="2">
        <v>777</v>
      </c>
      <c r="B776" s="4">
        <f>YEAR(H776)</f>
        <v>2023</v>
      </c>
      <c r="C776" s="4">
        <f>MONTH(H776)</f>
        <v>12</v>
      </c>
      <c r="D776" s="4">
        <f>DAY(H776)</f>
        <v>20</v>
      </c>
      <c r="E776" s="4" t="str">
        <f>TEXT(H776,"dddd")</f>
        <v>Wednesday</v>
      </c>
      <c r="F776" s="4" t="str">
        <f t="shared" si="13"/>
        <v>December</v>
      </c>
      <c r="G776" s="4"/>
      <c r="H776" s="3">
        <v>45280</v>
      </c>
      <c r="I776" s="4" t="s">
        <v>810</v>
      </c>
      <c r="J776" s="4" t="s">
        <v>27</v>
      </c>
      <c r="K776" s="4">
        <v>28</v>
      </c>
      <c r="L776" s="4" t="str" cm="1">
        <f t="array" ref="L776">_xlfn.IFS(K776&gt;=50, "Senior", K776&gt;=30, "Adult", K776&lt;30, "Young Adult")</f>
        <v>Young Adult</v>
      </c>
      <c r="M776" s="4" t="s">
        <v>10</v>
      </c>
      <c r="N776" s="4">
        <v>3</v>
      </c>
      <c r="O776" s="5">
        <v>50</v>
      </c>
      <c r="P776">
        <f>N776*O776</f>
        <v>150</v>
      </c>
      <c r="Q776">
        <f>(P776*$U$4)</f>
        <v>2.25</v>
      </c>
    </row>
    <row r="777" spans="1:17">
      <c r="A777" s="2">
        <v>778</v>
      </c>
      <c r="B777" s="4">
        <f>YEAR(H777)</f>
        <v>2023</v>
      </c>
      <c r="C777" s="4">
        <f>MONTH(H777)</f>
        <v>11</v>
      </c>
      <c r="D777" s="4">
        <f>DAY(H777)</f>
        <v>18</v>
      </c>
      <c r="E777" s="4" t="str">
        <f>TEXT(H777,"dddd")</f>
        <v>Saturday</v>
      </c>
      <c r="F777" s="4" t="str">
        <f t="shared" si="13"/>
        <v>November</v>
      </c>
      <c r="G777" s="4"/>
      <c r="H777" s="3">
        <v>45248</v>
      </c>
      <c r="I777" s="4" t="s">
        <v>811</v>
      </c>
      <c r="J777" s="4" t="s">
        <v>29</v>
      </c>
      <c r="K777" s="4">
        <v>28</v>
      </c>
      <c r="L777" s="4" t="str" cm="1">
        <f t="array" ref="L777">_xlfn.IFS(K777&gt;=50, "Senior", K777&gt;=30, "Adult", K777&lt;30, "Young Adult")</f>
        <v>Young Adult</v>
      </c>
      <c r="M777" s="4" t="s">
        <v>3</v>
      </c>
      <c r="N777" s="4">
        <v>4</v>
      </c>
      <c r="O777" s="5">
        <v>25</v>
      </c>
      <c r="P777">
        <f>N777*O777</f>
        <v>100</v>
      </c>
      <c r="Q777">
        <f>(P777*$U$4)</f>
        <v>1.5</v>
      </c>
    </row>
    <row r="778" spans="1:17">
      <c r="A778" s="2">
        <v>779</v>
      </c>
      <c r="B778" s="4">
        <f>YEAR(H778)</f>
        <v>2023</v>
      </c>
      <c r="C778" s="4">
        <f>MONTH(H778)</f>
        <v>5</v>
      </c>
      <c r="D778" s="4">
        <f>DAY(H778)</f>
        <v>5</v>
      </c>
      <c r="E778" s="4" t="str">
        <f>TEXT(H778,"dddd")</f>
        <v>Friday</v>
      </c>
      <c r="F778" s="4" t="str">
        <f t="shared" si="13"/>
        <v>May</v>
      </c>
      <c r="G778" s="4"/>
      <c r="H778" s="3">
        <v>45051</v>
      </c>
      <c r="I778" s="4" t="s">
        <v>812</v>
      </c>
      <c r="J778" s="4" t="s">
        <v>29</v>
      </c>
      <c r="K778" s="4">
        <v>28</v>
      </c>
      <c r="L778" s="4" t="str" cm="1">
        <f t="array" ref="L778">_xlfn.IFS(K778&gt;=50, "Senior", K778&gt;=30, "Adult", K778&lt;30, "Young Adult")</f>
        <v>Young Adult</v>
      </c>
      <c r="M778" s="4" t="s">
        <v>10</v>
      </c>
      <c r="N778" s="4">
        <v>2</v>
      </c>
      <c r="O778" s="5">
        <v>500</v>
      </c>
      <c r="P778">
        <f>N778*O778</f>
        <v>1000</v>
      </c>
      <c r="Q778">
        <f>(P778*$U$4)</f>
        <v>15</v>
      </c>
    </row>
    <row r="779" spans="1:17">
      <c r="A779" s="2">
        <v>780</v>
      </c>
      <c r="B779" s="4">
        <f>YEAR(H779)</f>
        <v>2023</v>
      </c>
      <c r="C779" s="4">
        <f>MONTH(H779)</f>
        <v>2</v>
      </c>
      <c r="D779" s="4">
        <f>DAY(H779)</f>
        <v>22</v>
      </c>
      <c r="E779" s="4" t="str">
        <f>TEXT(H779,"dddd")</f>
        <v>Wednesday</v>
      </c>
      <c r="F779" s="4" t="str">
        <f t="shared" si="13"/>
        <v>February</v>
      </c>
      <c r="G779" s="4"/>
      <c r="H779" s="3">
        <v>44979</v>
      </c>
      <c r="I779" s="4" t="s">
        <v>813</v>
      </c>
      <c r="J779" s="4" t="s">
        <v>27</v>
      </c>
      <c r="K779" s="4">
        <v>28</v>
      </c>
      <c r="L779" s="4" t="str" cm="1">
        <f t="array" ref="L779">_xlfn.IFS(K779&gt;=50, "Senior", K779&gt;=30, "Adult", K779&lt;30, "Young Adult")</f>
        <v>Young Adult</v>
      </c>
      <c r="M779" s="4" t="s">
        <v>10</v>
      </c>
      <c r="N779" s="4">
        <v>2</v>
      </c>
      <c r="O779" s="5">
        <v>25</v>
      </c>
      <c r="P779">
        <f>N779*O779</f>
        <v>50</v>
      </c>
      <c r="Q779">
        <f>(P779*$U$4)</f>
        <v>0.75</v>
      </c>
    </row>
    <row r="780" spans="1:17">
      <c r="A780" s="2">
        <v>781</v>
      </c>
      <c r="B780" s="4">
        <f>YEAR(H780)</f>
        <v>2023</v>
      </c>
      <c r="C780" s="4">
        <f>MONTH(H780)</f>
        <v>12</v>
      </c>
      <c r="D780" s="4">
        <f>DAY(H780)</f>
        <v>23</v>
      </c>
      <c r="E780" s="4" t="str">
        <f>TEXT(H780,"dddd")</f>
        <v>Saturday</v>
      </c>
      <c r="F780" s="4" t="str">
        <f t="shared" si="13"/>
        <v>December</v>
      </c>
      <c r="G780" s="4"/>
      <c r="H780" s="3">
        <v>45283</v>
      </c>
      <c r="I780" s="4" t="s">
        <v>814</v>
      </c>
      <c r="J780" s="4" t="s">
        <v>27</v>
      </c>
      <c r="K780" s="4">
        <v>28</v>
      </c>
      <c r="L780" s="4" t="str" cm="1">
        <f t="array" ref="L780">_xlfn.IFS(K780&gt;=50, "Senior", K780&gt;=30, "Adult", K780&lt;30, "Young Adult")</f>
        <v>Young Adult</v>
      </c>
      <c r="M780" s="4" t="s">
        <v>3</v>
      </c>
      <c r="N780" s="4">
        <v>1</v>
      </c>
      <c r="O780" s="5">
        <v>500</v>
      </c>
      <c r="P780">
        <f>N780*O780</f>
        <v>500</v>
      </c>
      <c r="Q780">
        <f>(P780*$U$4)</f>
        <v>7.5</v>
      </c>
    </row>
    <row r="781" spans="1:17">
      <c r="A781" s="2">
        <v>782</v>
      </c>
      <c r="B781" s="4">
        <f>YEAR(H781)</f>
        <v>2023</v>
      </c>
      <c r="C781" s="4">
        <f>MONTH(H781)</f>
        <v>6</v>
      </c>
      <c r="D781" s="4">
        <f>DAY(H781)</f>
        <v>4</v>
      </c>
      <c r="E781" s="4" t="str">
        <f>TEXT(H781,"dddd")</f>
        <v>Sunday</v>
      </c>
      <c r="F781" s="4" t="str">
        <f t="shared" si="13"/>
        <v>June</v>
      </c>
      <c r="G781" s="4"/>
      <c r="H781" s="3">
        <v>45081</v>
      </c>
      <c r="I781" s="4" t="s">
        <v>815</v>
      </c>
      <c r="J781" s="4" t="s">
        <v>27</v>
      </c>
      <c r="K781" s="4">
        <v>28</v>
      </c>
      <c r="L781" s="4" t="str" cm="1">
        <f t="array" ref="L781">_xlfn.IFS(K781&gt;=50, "Senior", K781&gt;=30, "Adult", K781&lt;30, "Young Adult")</f>
        <v>Young Adult</v>
      </c>
      <c r="M781" s="4" t="s">
        <v>8</v>
      </c>
      <c r="N781" s="4">
        <v>3</v>
      </c>
      <c r="O781" s="5">
        <v>300</v>
      </c>
      <c r="P781">
        <f>N781*O781</f>
        <v>900</v>
      </c>
      <c r="Q781">
        <f>(P781*$U$4)</f>
        <v>13.5</v>
      </c>
    </row>
    <row r="782" spans="1:17">
      <c r="A782" s="2">
        <v>783</v>
      </c>
      <c r="B782" s="4">
        <f>YEAR(H782)</f>
        <v>2023</v>
      </c>
      <c r="C782" s="4">
        <f>MONTH(H782)</f>
        <v>12</v>
      </c>
      <c r="D782" s="4">
        <f>DAY(H782)</f>
        <v>17</v>
      </c>
      <c r="E782" s="4" t="str">
        <f>TEXT(H782,"dddd")</f>
        <v>Sunday</v>
      </c>
      <c r="F782" s="4" t="str">
        <f t="shared" si="13"/>
        <v>December</v>
      </c>
      <c r="G782" s="4"/>
      <c r="H782" s="3">
        <v>45277</v>
      </c>
      <c r="I782" s="4" t="s">
        <v>816</v>
      </c>
      <c r="J782" s="4" t="s">
        <v>29</v>
      </c>
      <c r="K782" s="4">
        <v>28</v>
      </c>
      <c r="L782" s="4" t="str" cm="1">
        <f t="array" ref="L782">_xlfn.IFS(K782&gt;=50, "Senior", K782&gt;=30, "Adult", K782&lt;30, "Young Adult")</f>
        <v>Young Adult</v>
      </c>
      <c r="M782" s="4" t="s">
        <v>8</v>
      </c>
      <c r="N782" s="4">
        <v>1</v>
      </c>
      <c r="O782" s="5">
        <v>300</v>
      </c>
      <c r="P782">
        <f>N782*O782</f>
        <v>300</v>
      </c>
      <c r="Q782">
        <f>(P782*$U$4)</f>
        <v>4.5</v>
      </c>
    </row>
    <row r="783" spans="1:17">
      <c r="A783" s="2">
        <v>784</v>
      </c>
      <c r="B783" s="4">
        <f>YEAR(H783)</f>
        <v>2023</v>
      </c>
      <c r="C783" s="4">
        <f>MONTH(H783)</f>
        <v>11</v>
      </c>
      <c r="D783" s="4">
        <f>DAY(H783)</f>
        <v>4</v>
      </c>
      <c r="E783" s="4" t="str">
        <f>TEXT(H783,"dddd")</f>
        <v>Saturday</v>
      </c>
      <c r="F783" s="4" t="str">
        <f t="shared" si="13"/>
        <v>November</v>
      </c>
      <c r="G783" s="4"/>
      <c r="H783" s="3">
        <v>45234</v>
      </c>
      <c r="I783" s="4" t="s">
        <v>817</v>
      </c>
      <c r="J783" s="4" t="s">
        <v>29</v>
      </c>
      <c r="K783" s="4">
        <v>28</v>
      </c>
      <c r="L783" s="4" t="str" cm="1">
        <f t="array" ref="L783">_xlfn.IFS(K783&gt;=50, "Senior", K783&gt;=30, "Adult", K783&lt;30, "Young Adult")</f>
        <v>Young Adult</v>
      </c>
      <c r="M783" s="4" t="s">
        <v>10</v>
      </c>
      <c r="N783" s="4">
        <v>1</v>
      </c>
      <c r="O783" s="5">
        <v>500</v>
      </c>
      <c r="P783">
        <f>N783*O783</f>
        <v>500</v>
      </c>
      <c r="Q783">
        <f>(P783*$U$4)</f>
        <v>7.5</v>
      </c>
    </row>
    <row r="784" spans="1:17">
      <c r="A784" s="2">
        <v>785</v>
      </c>
      <c r="B784" s="4">
        <f>YEAR(H784)</f>
        <v>2023</v>
      </c>
      <c r="C784" s="4">
        <f>MONTH(H784)</f>
        <v>3</v>
      </c>
      <c r="D784" s="4">
        <f>DAY(H784)</f>
        <v>3</v>
      </c>
      <c r="E784" s="4" t="str">
        <f>TEXT(H784,"dddd")</f>
        <v>Friday</v>
      </c>
      <c r="F784" s="4" t="str">
        <f t="shared" si="13"/>
        <v>March</v>
      </c>
      <c r="G784" s="4"/>
      <c r="H784" s="3">
        <v>44988</v>
      </c>
      <c r="I784" s="4" t="s">
        <v>818</v>
      </c>
      <c r="J784" s="4" t="s">
        <v>29</v>
      </c>
      <c r="K784" s="4">
        <v>28</v>
      </c>
      <c r="L784" s="4" t="str" cm="1">
        <f t="array" ref="L784">_xlfn.IFS(K784&gt;=50, "Senior", K784&gt;=30, "Adult", K784&lt;30, "Young Adult")</f>
        <v>Young Adult</v>
      </c>
      <c r="M784" s="4" t="s">
        <v>3</v>
      </c>
      <c r="N784" s="4">
        <v>4</v>
      </c>
      <c r="O784" s="5">
        <v>50</v>
      </c>
      <c r="P784">
        <f>N784*O784</f>
        <v>200</v>
      </c>
      <c r="Q784">
        <f>(P784*$U$4)</f>
        <v>3</v>
      </c>
    </row>
    <row r="785" spans="1:17">
      <c r="A785" s="2">
        <v>786</v>
      </c>
      <c r="B785" s="4">
        <f>YEAR(H785)</f>
        <v>2023</v>
      </c>
      <c r="C785" s="4">
        <f>MONTH(H785)</f>
        <v>10</v>
      </c>
      <c r="D785" s="4">
        <f>DAY(H785)</f>
        <v>17</v>
      </c>
      <c r="E785" s="4" t="str">
        <f>TEXT(H785,"dddd")</f>
        <v>Tuesday</v>
      </c>
      <c r="F785" s="4" t="str">
        <f t="shared" si="13"/>
        <v>October</v>
      </c>
      <c r="G785" s="4"/>
      <c r="H785" s="3">
        <v>45216</v>
      </c>
      <c r="I785" s="4" t="s">
        <v>819</v>
      </c>
      <c r="J785" s="4" t="s">
        <v>27</v>
      </c>
      <c r="K785" s="4">
        <v>28</v>
      </c>
      <c r="L785" s="4" t="str" cm="1">
        <f t="array" ref="L785">_xlfn.IFS(K785&gt;=50, "Senior", K785&gt;=30, "Adult", K785&lt;30, "Young Adult")</f>
        <v>Young Adult</v>
      </c>
      <c r="M785" s="4" t="s">
        <v>8</v>
      </c>
      <c r="N785" s="4">
        <v>4</v>
      </c>
      <c r="O785" s="5">
        <v>25</v>
      </c>
      <c r="P785">
        <f>N785*O785</f>
        <v>100</v>
      </c>
      <c r="Q785">
        <f>(P785*$U$4)</f>
        <v>1.5</v>
      </c>
    </row>
    <row r="786" spans="1:17">
      <c r="A786" s="2">
        <v>787</v>
      </c>
      <c r="B786" s="4">
        <f>YEAR(H786)</f>
        <v>2023</v>
      </c>
      <c r="C786" s="4">
        <f>MONTH(H786)</f>
        <v>1</v>
      </c>
      <c r="D786" s="4">
        <f>DAY(H786)</f>
        <v>22</v>
      </c>
      <c r="E786" s="4" t="str">
        <f>TEXT(H786,"dddd")</f>
        <v>Sunday</v>
      </c>
      <c r="F786" s="4" t="str">
        <f t="shared" si="13"/>
        <v>January</v>
      </c>
      <c r="G786" s="4"/>
      <c r="H786" s="3">
        <v>44948</v>
      </c>
      <c r="I786" s="4" t="s">
        <v>820</v>
      </c>
      <c r="J786" s="4" t="s">
        <v>27</v>
      </c>
      <c r="K786" s="4">
        <v>27</v>
      </c>
      <c r="L786" s="4" t="str" cm="1">
        <f t="array" ref="L786">_xlfn.IFS(K786&gt;=50, "Senior", K786&gt;=30, "Adult", K786&lt;30, "Young Adult")</f>
        <v>Young Adult</v>
      </c>
      <c r="M786" s="4" t="s">
        <v>10</v>
      </c>
      <c r="N786" s="4">
        <v>1</v>
      </c>
      <c r="O786" s="5">
        <v>25</v>
      </c>
      <c r="P786">
        <f>N786*O786</f>
        <v>25</v>
      </c>
      <c r="Q786">
        <f>(P786*$U$4)</f>
        <v>0.375</v>
      </c>
    </row>
    <row r="787" spans="1:17">
      <c r="A787" s="2">
        <v>788</v>
      </c>
      <c r="B787" s="4">
        <f>YEAR(H787)</f>
        <v>2023</v>
      </c>
      <c r="C787" s="4">
        <f>MONTH(H787)</f>
        <v>6</v>
      </c>
      <c r="D787" s="4">
        <f>DAY(H787)</f>
        <v>27</v>
      </c>
      <c r="E787" s="4" t="str">
        <f>TEXT(H787,"dddd")</f>
        <v>Tuesday</v>
      </c>
      <c r="F787" s="4" t="str">
        <f t="shared" si="13"/>
        <v>June</v>
      </c>
      <c r="G787" s="4"/>
      <c r="H787" s="3">
        <v>45104</v>
      </c>
      <c r="I787" s="4" t="s">
        <v>821</v>
      </c>
      <c r="J787" s="4" t="s">
        <v>29</v>
      </c>
      <c r="K787" s="4">
        <v>27</v>
      </c>
      <c r="L787" s="4" t="str" cm="1">
        <f t="array" ref="L787">_xlfn.IFS(K787&gt;=50, "Senior", K787&gt;=30, "Adult", K787&lt;30, "Young Adult")</f>
        <v>Young Adult</v>
      </c>
      <c r="M787" s="4" t="s">
        <v>3</v>
      </c>
      <c r="N787" s="4">
        <v>3</v>
      </c>
      <c r="O787" s="5">
        <v>300</v>
      </c>
      <c r="P787">
        <f>N787*O787</f>
        <v>900</v>
      </c>
      <c r="Q787">
        <f>(P787*$U$4)</f>
        <v>13.5</v>
      </c>
    </row>
    <row r="788" spans="1:17">
      <c r="A788" s="2">
        <v>789</v>
      </c>
      <c r="B788" s="4">
        <f>YEAR(H788)</f>
        <v>2023</v>
      </c>
      <c r="C788" s="4">
        <f>MONTH(H788)</f>
        <v>9</v>
      </c>
      <c r="D788" s="4">
        <f>DAY(H788)</f>
        <v>30</v>
      </c>
      <c r="E788" s="4" t="str">
        <f>TEXT(H788,"dddd")</f>
        <v>Saturday</v>
      </c>
      <c r="F788" s="4" t="str">
        <f t="shared" si="13"/>
        <v>September</v>
      </c>
      <c r="G788" s="4"/>
      <c r="H788" s="3">
        <v>45199</v>
      </c>
      <c r="I788" s="4" t="s">
        <v>822</v>
      </c>
      <c r="J788" s="4" t="s">
        <v>29</v>
      </c>
      <c r="K788" s="4">
        <v>27</v>
      </c>
      <c r="L788" s="4" t="str" cm="1">
        <f t="array" ref="L788">_xlfn.IFS(K788&gt;=50, "Senior", K788&gt;=30, "Adult", K788&lt;30, "Young Adult")</f>
        <v>Young Adult</v>
      </c>
      <c r="M788" s="4" t="s">
        <v>8</v>
      </c>
      <c r="N788" s="4">
        <v>4</v>
      </c>
      <c r="O788" s="5">
        <v>500</v>
      </c>
      <c r="P788">
        <f>N788*O788</f>
        <v>2000</v>
      </c>
      <c r="Q788">
        <f>(P788*$U$4)</f>
        <v>30</v>
      </c>
    </row>
    <row r="789" spans="1:17">
      <c r="A789" s="2">
        <v>790</v>
      </c>
      <c r="B789" s="4">
        <f>YEAR(H789)</f>
        <v>2023</v>
      </c>
      <c r="C789" s="4">
        <f>MONTH(H789)</f>
        <v>8</v>
      </c>
      <c r="D789" s="4">
        <f>DAY(H789)</f>
        <v>8</v>
      </c>
      <c r="E789" s="4" t="str">
        <f>TEXT(H789,"dddd")</f>
        <v>Tuesday</v>
      </c>
      <c r="F789" s="4" t="str">
        <f t="shared" si="13"/>
        <v>August</v>
      </c>
      <c r="G789" s="4"/>
      <c r="H789" s="3">
        <v>45146</v>
      </c>
      <c r="I789" s="4" t="s">
        <v>823</v>
      </c>
      <c r="J789" s="4" t="s">
        <v>27</v>
      </c>
      <c r="K789" s="4">
        <v>27</v>
      </c>
      <c r="L789" s="4" t="str" cm="1">
        <f t="array" ref="L789">_xlfn.IFS(K789&gt;=50, "Senior", K789&gt;=30, "Adult", K789&lt;30, "Young Adult")</f>
        <v>Young Adult</v>
      </c>
      <c r="M789" s="4" t="s">
        <v>8</v>
      </c>
      <c r="N789" s="4">
        <v>1</v>
      </c>
      <c r="O789" s="5">
        <v>25</v>
      </c>
      <c r="P789">
        <f>N789*O789</f>
        <v>25</v>
      </c>
      <c r="Q789">
        <f>(P789*$U$4)</f>
        <v>0.375</v>
      </c>
    </row>
    <row r="790" spans="1:17">
      <c r="A790" s="2">
        <v>791</v>
      </c>
      <c r="B790" s="4">
        <f>YEAR(H790)</f>
        <v>2023</v>
      </c>
      <c r="C790" s="4">
        <f>MONTH(H790)</f>
        <v>12</v>
      </c>
      <c r="D790" s="4">
        <f>DAY(H790)</f>
        <v>5</v>
      </c>
      <c r="E790" s="4" t="str">
        <f>TEXT(H790,"dddd")</f>
        <v>Tuesday</v>
      </c>
      <c r="F790" s="4" t="str">
        <f t="shared" si="13"/>
        <v>December</v>
      </c>
      <c r="G790" s="4"/>
      <c r="H790" s="3">
        <v>45265</v>
      </c>
      <c r="I790" s="4" t="s">
        <v>824</v>
      </c>
      <c r="J790" s="4" t="s">
        <v>29</v>
      </c>
      <c r="K790" s="4">
        <v>27</v>
      </c>
      <c r="L790" s="4" t="str" cm="1">
        <f t="array" ref="L790">_xlfn.IFS(K790&gt;=50, "Senior", K790&gt;=30, "Adult", K790&lt;30, "Young Adult")</f>
        <v>Young Adult</v>
      </c>
      <c r="M790" s="4" t="s">
        <v>3</v>
      </c>
      <c r="N790" s="4">
        <v>1</v>
      </c>
      <c r="O790" s="5">
        <v>25</v>
      </c>
      <c r="P790">
        <f>N790*O790</f>
        <v>25</v>
      </c>
      <c r="Q790">
        <f>(P790*$U$4)</f>
        <v>0.375</v>
      </c>
    </row>
    <row r="791" spans="1:17">
      <c r="A791" s="2">
        <v>792</v>
      </c>
      <c r="B791" s="4">
        <f>YEAR(H791)</f>
        <v>2023</v>
      </c>
      <c r="C791" s="4">
        <f>MONTH(H791)</f>
        <v>7</v>
      </c>
      <c r="D791" s="4">
        <f>DAY(H791)</f>
        <v>9</v>
      </c>
      <c r="E791" s="4" t="str">
        <f>TEXT(H791,"dddd")</f>
        <v>Sunday</v>
      </c>
      <c r="F791" s="4" t="str">
        <f t="shared" si="13"/>
        <v>July</v>
      </c>
      <c r="G791" s="4"/>
      <c r="H791" s="3">
        <v>45116</v>
      </c>
      <c r="I791" s="4" t="s">
        <v>825</v>
      </c>
      <c r="J791" s="4" t="s">
        <v>29</v>
      </c>
      <c r="K791" s="4">
        <v>27</v>
      </c>
      <c r="L791" s="4" t="str" cm="1">
        <f t="array" ref="L791">_xlfn.IFS(K791&gt;=50, "Senior", K791&gt;=30, "Adult", K791&lt;30, "Young Adult")</f>
        <v>Young Adult</v>
      </c>
      <c r="M791" s="4" t="s">
        <v>3</v>
      </c>
      <c r="N791" s="4">
        <v>1</v>
      </c>
      <c r="O791" s="5">
        <v>50</v>
      </c>
      <c r="P791">
        <f>N791*O791</f>
        <v>50</v>
      </c>
      <c r="Q791">
        <f>(P791*$U$4)</f>
        <v>0.75</v>
      </c>
    </row>
    <row r="792" spans="1:17">
      <c r="A792" s="2">
        <v>793</v>
      </c>
      <c r="B792" s="4">
        <f>YEAR(H792)</f>
        <v>2023</v>
      </c>
      <c r="C792" s="4">
        <f>MONTH(H792)</f>
        <v>2</v>
      </c>
      <c r="D792" s="4">
        <f>DAY(H792)</f>
        <v>5</v>
      </c>
      <c r="E792" s="4" t="str">
        <f>TEXT(H792,"dddd")</f>
        <v>Sunday</v>
      </c>
      <c r="F792" s="4" t="str">
        <f t="shared" si="13"/>
        <v>February</v>
      </c>
      <c r="G792" s="4"/>
      <c r="H792" s="3">
        <v>44962</v>
      </c>
      <c r="I792" s="4" t="s">
        <v>826</v>
      </c>
      <c r="J792" s="4" t="s">
        <v>27</v>
      </c>
      <c r="K792" s="4">
        <v>27</v>
      </c>
      <c r="L792" s="4" t="str" cm="1">
        <f t="array" ref="L792">_xlfn.IFS(K792&gt;=50, "Senior", K792&gt;=30, "Adult", K792&lt;30, "Young Adult")</f>
        <v>Young Adult</v>
      </c>
      <c r="M792" s="4" t="s">
        <v>3</v>
      </c>
      <c r="N792" s="4">
        <v>1</v>
      </c>
      <c r="O792" s="5">
        <v>30</v>
      </c>
      <c r="P792">
        <f>N792*O792</f>
        <v>30</v>
      </c>
      <c r="Q792">
        <f>(P792*$U$4)</f>
        <v>0.44999999999999996</v>
      </c>
    </row>
    <row r="793" spans="1:17">
      <c r="A793" s="2">
        <v>794</v>
      </c>
      <c r="B793" s="4">
        <f>YEAR(H793)</f>
        <v>2023</v>
      </c>
      <c r="C793" s="4">
        <f>MONTH(H793)</f>
        <v>9</v>
      </c>
      <c r="D793" s="4">
        <f>DAY(H793)</f>
        <v>17</v>
      </c>
      <c r="E793" s="4" t="str">
        <f>TEXT(H793,"dddd")</f>
        <v>Sunday</v>
      </c>
      <c r="F793" s="4" t="str">
        <f t="shared" si="13"/>
        <v>September</v>
      </c>
      <c r="G793" s="4"/>
      <c r="H793" s="3">
        <v>45186</v>
      </c>
      <c r="I793" s="4" t="s">
        <v>827</v>
      </c>
      <c r="J793" s="4" t="s">
        <v>29</v>
      </c>
      <c r="K793" s="4">
        <v>27</v>
      </c>
      <c r="L793" s="4" t="str" cm="1">
        <f t="array" ref="L793">_xlfn.IFS(K793&gt;=50, "Senior", K793&gt;=30, "Adult", K793&lt;30, "Young Adult")</f>
        <v>Young Adult</v>
      </c>
      <c r="M793" s="4" t="s">
        <v>3</v>
      </c>
      <c r="N793" s="4">
        <v>1</v>
      </c>
      <c r="O793" s="5">
        <v>300</v>
      </c>
      <c r="P793">
        <f>N793*O793</f>
        <v>300</v>
      </c>
      <c r="Q793">
        <f>(P793*$U$4)</f>
        <v>4.5</v>
      </c>
    </row>
    <row r="794" spans="1:17">
      <c r="A794" s="2">
        <v>795</v>
      </c>
      <c r="B794" s="4">
        <f>YEAR(H794)</f>
        <v>2023</v>
      </c>
      <c r="C794" s="4">
        <f>MONTH(H794)</f>
        <v>11</v>
      </c>
      <c r="D794" s="4">
        <f>DAY(H794)</f>
        <v>28</v>
      </c>
      <c r="E794" s="4" t="str">
        <f>TEXT(H794,"dddd")</f>
        <v>Tuesday</v>
      </c>
      <c r="F794" s="4" t="str">
        <f t="shared" si="13"/>
        <v>November</v>
      </c>
      <c r="G794" s="4"/>
      <c r="H794" s="3">
        <v>45258</v>
      </c>
      <c r="I794" s="4" t="s">
        <v>828</v>
      </c>
      <c r="J794" s="4" t="s">
        <v>27</v>
      </c>
      <c r="K794" s="4">
        <v>27</v>
      </c>
      <c r="L794" s="4" t="str" cm="1">
        <f t="array" ref="L794">_xlfn.IFS(K794&gt;=50, "Senior", K794&gt;=30, "Adult", K794&lt;30, "Young Adult")</f>
        <v>Young Adult</v>
      </c>
      <c r="M794" s="4" t="s">
        <v>10</v>
      </c>
      <c r="N794" s="4">
        <v>1</v>
      </c>
      <c r="O794" s="5">
        <v>300</v>
      </c>
      <c r="P794">
        <f>N794*O794</f>
        <v>300</v>
      </c>
      <c r="Q794">
        <f>(P794*$U$4)</f>
        <v>4.5</v>
      </c>
    </row>
    <row r="795" spans="1:17">
      <c r="A795" s="2">
        <v>796</v>
      </c>
      <c r="B795" s="4">
        <f>YEAR(H795)</f>
        <v>2023</v>
      </c>
      <c r="C795" s="4">
        <f>MONTH(H795)</f>
        <v>6</v>
      </c>
      <c r="D795" s="4">
        <f>DAY(H795)</f>
        <v>24</v>
      </c>
      <c r="E795" s="4" t="str">
        <f>TEXT(H795,"dddd")</f>
        <v>Saturday</v>
      </c>
      <c r="F795" s="4" t="str">
        <f t="shared" si="13"/>
        <v>June</v>
      </c>
      <c r="G795" s="4"/>
      <c r="H795" s="3">
        <v>45101</v>
      </c>
      <c r="I795" s="4" t="s">
        <v>829</v>
      </c>
      <c r="J795" s="4" t="s">
        <v>27</v>
      </c>
      <c r="K795" s="4">
        <v>27</v>
      </c>
      <c r="L795" s="4" t="str" cm="1">
        <f t="array" ref="L795">_xlfn.IFS(K795&gt;=50, "Senior", K795&gt;=30, "Adult", K795&lt;30, "Young Adult")</f>
        <v>Young Adult</v>
      </c>
      <c r="M795" s="4" t="s">
        <v>3</v>
      </c>
      <c r="N795" s="4">
        <v>4</v>
      </c>
      <c r="O795" s="5">
        <v>30</v>
      </c>
      <c r="P795">
        <f>N795*O795</f>
        <v>120</v>
      </c>
      <c r="Q795">
        <f>(P795*$U$4)</f>
        <v>1.7999999999999998</v>
      </c>
    </row>
    <row r="796" spans="1:17">
      <c r="A796" s="2">
        <v>797</v>
      </c>
      <c r="B796" s="4">
        <f>YEAR(H796)</f>
        <v>2023</v>
      </c>
      <c r="C796" s="4">
        <f>MONTH(H796)</f>
        <v>1</v>
      </c>
      <c r="D796" s="4">
        <f>DAY(H796)</f>
        <v>7</v>
      </c>
      <c r="E796" s="4" t="str">
        <f>TEXT(H796,"dddd")</f>
        <v>Saturday</v>
      </c>
      <c r="F796" s="4" t="str">
        <f t="shared" si="13"/>
        <v>January</v>
      </c>
      <c r="G796" s="4"/>
      <c r="H796" s="3">
        <v>44933</v>
      </c>
      <c r="I796" s="4" t="s">
        <v>830</v>
      </c>
      <c r="J796" s="4" t="s">
        <v>27</v>
      </c>
      <c r="K796" s="4">
        <v>27</v>
      </c>
      <c r="L796" s="4" t="str" cm="1">
        <f t="array" ref="L796">_xlfn.IFS(K796&gt;=50, "Senior", K796&gt;=30, "Adult", K796&lt;30, "Young Adult")</f>
        <v>Young Adult</v>
      </c>
      <c r="M796" s="4" t="s">
        <v>8</v>
      </c>
      <c r="N796" s="4">
        <v>3</v>
      </c>
      <c r="O796" s="5">
        <v>25</v>
      </c>
      <c r="P796">
        <f>N796*O796</f>
        <v>75</v>
      </c>
      <c r="Q796">
        <f>(P796*$U$4)</f>
        <v>1.125</v>
      </c>
    </row>
    <row r="797" spans="1:17">
      <c r="A797" s="2">
        <v>798</v>
      </c>
      <c r="B797" s="4">
        <f>YEAR(H797)</f>
        <v>2023</v>
      </c>
      <c r="C797" s="4">
        <f>MONTH(H797)</f>
        <v>8</v>
      </c>
      <c r="D797" s="4">
        <f>DAY(H797)</f>
        <v>4</v>
      </c>
      <c r="E797" s="4" t="str">
        <f>TEXT(H797,"dddd")</f>
        <v>Friday</v>
      </c>
      <c r="F797" s="4" t="str">
        <f t="shared" si="13"/>
        <v>August</v>
      </c>
      <c r="G797" s="4"/>
      <c r="H797" s="3">
        <v>45142</v>
      </c>
      <c r="I797" s="4" t="s">
        <v>831</v>
      </c>
      <c r="J797" s="4" t="s">
        <v>27</v>
      </c>
      <c r="K797" s="4">
        <v>27</v>
      </c>
      <c r="L797" s="4" t="str" cm="1">
        <f t="array" ref="L797">_xlfn.IFS(K797&gt;=50, "Senior", K797&gt;=30, "Adult", K797&lt;30, "Young Adult")</f>
        <v>Young Adult</v>
      </c>
      <c r="M797" s="4" t="s">
        <v>8</v>
      </c>
      <c r="N797" s="4">
        <v>1</v>
      </c>
      <c r="O797" s="5">
        <v>50</v>
      </c>
      <c r="P797">
        <f>N797*O797</f>
        <v>50</v>
      </c>
      <c r="Q797">
        <f>(P797*$U$4)</f>
        <v>0.75</v>
      </c>
    </row>
    <row r="798" spans="1:17">
      <c r="A798" s="2">
        <v>799</v>
      </c>
      <c r="B798" s="4">
        <f>YEAR(H798)</f>
        <v>2023</v>
      </c>
      <c r="C798" s="4">
        <f>MONTH(H798)</f>
        <v>9</v>
      </c>
      <c r="D798" s="4">
        <f>DAY(H798)</f>
        <v>8</v>
      </c>
      <c r="E798" s="4" t="str">
        <f>TEXT(H798,"dddd")</f>
        <v>Friday</v>
      </c>
      <c r="F798" s="4" t="str">
        <f t="shared" si="13"/>
        <v>September</v>
      </c>
      <c r="G798" s="4"/>
      <c r="H798" s="3">
        <v>45177</v>
      </c>
      <c r="I798" s="4" t="s">
        <v>832</v>
      </c>
      <c r="J798" s="4" t="s">
        <v>27</v>
      </c>
      <c r="K798" s="4">
        <v>27</v>
      </c>
      <c r="L798" s="4" t="str" cm="1">
        <f t="array" ref="L798">_xlfn.IFS(K798&gt;=50, "Senior", K798&gt;=30, "Adult", K798&lt;30, "Young Adult")</f>
        <v>Young Adult</v>
      </c>
      <c r="M798" s="4" t="s">
        <v>10</v>
      </c>
      <c r="N798" s="4">
        <v>2</v>
      </c>
      <c r="O798" s="5">
        <v>50</v>
      </c>
      <c r="P798">
        <f>N798*O798</f>
        <v>100</v>
      </c>
      <c r="Q798">
        <f>(P798*$U$4)</f>
        <v>1.5</v>
      </c>
    </row>
    <row r="799" spans="1:17">
      <c r="A799" s="2">
        <v>800</v>
      </c>
      <c r="B799" s="4">
        <f>YEAR(H799)</f>
        <v>2023</v>
      </c>
      <c r="C799" s="4">
        <f>MONTH(H799)</f>
        <v>2</v>
      </c>
      <c r="D799" s="4">
        <f>DAY(H799)</f>
        <v>24</v>
      </c>
      <c r="E799" s="4" t="str">
        <f>TEXT(H799,"dddd")</f>
        <v>Friday</v>
      </c>
      <c r="F799" s="4" t="str">
        <f t="shared" si="13"/>
        <v>February</v>
      </c>
      <c r="G799" s="4"/>
      <c r="H799" s="3">
        <v>44981</v>
      </c>
      <c r="I799" s="4" t="s">
        <v>833</v>
      </c>
      <c r="J799" s="4" t="s">
        <v>27</v>
      </c>
      <c r="K799" s="4">
        <v>27</v>
      </c>
      <c r="L799" s="4" t="str" cm="1">
        <f t="array" ref="L799">_xlfn.IFS(K799&gt;=50, "Senior", K799&gt;=30, "Adult", K799&lt;30, "Young Adult")</f>
        <v>Young Adult</v>
      </c>
      <c r="M799" s="4" t="s">
        <v>8</v>
      </c>
      <c r="N799" s="4">
        <v>4</v>
      </c>
      <c r="O799" s="5">
        <v>300</v>
      </c>
      <c r="P799">
        <f>N799*O799</f>
        <v>1200</v>
      </c>
      <c r="Q799">
        <f>(P799*$U$4)</f>
        <v>18</v>
      </c>
    </row>
    <row r="800" spans="1:17">
      <c r="A800" s="2">
        <v>801</v>
      </c>
      <c r="B800" s="4">
        <f>YEAR(H800)</f>
        <v>2023</v>
      </c>
      <c r="C800" s="4">
        <f>MONTH(H800)</f>
        <v>8</v>
      </c>
      <c r="D800" s="4">
        <f>DAY(H800)</f>
        <v>10</v>
      </c>
      <c r="E800" s="4" t="str">
        <f>TEXT(H800,"dddd")</f>
        <v>Thursday</v>
      </c>
      <c r="F800" s="4" t="str">
        <f t="shared" si="13"/>
        <v>August</v>
      </c>
      <c r="G800" s="4"/>
      <c r="H800" s="3">
        <v>45148</v>
      </c>
      <c r="I800" s="4" t="s">
        <v>834</v>
      </c>
      <c r="J800" s="4" t="s">
        <v>27</v>
      </c>
      <c r="K800" s="4">
        <v>27</v>
      </c>
      <c r="L800" s="4" t="str" cm="1">
        <f t="array" ref="L800">_xlfn.IFS(K800&gt;=50, "Senior", K800&gt;=30, "Adult", K800&lt;30, "Young Adult")</f>
        <v>Young Adult</v>
      </c>
      <c r="M800" s="4" t="s">
        <v>8</v>
      </c>
      <c r="N800" s="4">
        <v>4</v>
      </c>
      <c r="O800" s="5">
        <v>50</v>
      </c>
      <c r="P800">
        <f>N800*O800</f>
        <v>200</v>
      </c>
      <c r="Q800">
        <f>(P800*$U$4)</f>
        <v>3</v>
      </c>
    </row>
    <row r="801" spans="1:17">
      <c r="A801" s="2">
        <v>802</v>
      </c>
      <c r="B801" s="4">
        <f>YEAR(H801)</f>
        <v>2023</v>
      </c>
      <c r="C801" s="4">
        <f>MONTH(H801)</f>
        <v>7</v>
      </c>
      <c r="D801" s="4">
        <f>DAY(H801)</f>
        <v>5</v>
      </c>
      <c r="E801" s="4" t="str">
        <f>TEXT(H801,"dddd")</f>
        <v>Wednesday</v>
      </c>
      <c r="F801" s="4" t="str">
        <f t="shared" si="13"/>
        <v>July</v>
      </c>
      <c r="G801" s="4"/>
      <c r="H801" s="3">
        <v>45112</v>
      </c>
      <c r="I801" s="4" t="s">
        <v>835</v>
      </c>
      <c r="J801" s="4" t="s">
        <v>29</v>
      </c>
      <c r="K801" s="4">
        <v>27</v>
      </c>
      <c r="L801" s="4" t="str" cm="1">
        <f t="array" ref="L801">_xlfn.IFS(K801&gt;=50, "Senior", K801&gt;=30, "Adult", K801&lt;30, "Young Adult")</f>
        <v>Young Adult</v>
      </c>
      <c r="M801" s="4" t="s">
        <v>3</v>
      </c>
      <c r="N801" s="4">
        <v>1</v>
      </c>
      <c r="O801" s="5">
        <v>30</v>
      </c>
      <c r="P801">
        <f>N801*O801</f>
        <v>30</v>
      </c>
      <c r="Q801">
        <f>(P801*$U$4)</f>
        <v>0.44999999999999996</v>
      </c>
    </row>
    <row r="802" spans="1:17">
      <c r="A802" s="2">
        <v>803</v>
      </c>
      <c r="B802" s="4">
        <f>YEAR(H802)</f>
        <v>2023</v>
      </c>
      <c r="C802" s="4">
        <f>MONTH(H802)</f>
        <v>11</v>
      </c>
      <c r="D802" s="4">
        <f>DAY(H802)</f>
        <v>22</v>
      </c>
      <c r="E802" s="4" t="str">
        <f>TEXT(H802,"dddd")</f>
        <v>Wednesday</v>
      </c>
      <c r="F802" s="4" t="str">
        <f t="shared" si="13"/>
        <v>November</v>
      </c>
      <c r="G802" s="4"/>
      <c r="H802" s="3">
        <v>45252</v>
      </c>
      <c r="I802" s="4" t="s">
        <v>836</v>
      </c>
      <c r="J802" s="4" t="s">
        <v>27</v>
      </c>
      <c r="K802" s="4">
        <v>27</v>
      </c>
      <c r="L802" s="4" t="str" cm="1">
        <f t="array" ref="L802">_xlfn.IFS(K802&gt;=50, "Senior", K802&gt;=30, "Adult", K802&lt;30, "Young Adult")</f>
        <v>Young Adult</v>
      </c>
      <c r="M802" s="4" t="s">
        <v>8</v>
      </c>
      <c r="N802" s="4">
        <v>4</v>
      </c>
      <c r="O802" s="5">
        <v>25</v>
      </c>
      <c r="P802">
        <f>N802*O802</f>
        <v>100</v>
      </c>
      <c r="Q802">
        <f>(P802*$U$4)</f>
        <v>1.5</v>
      </c>
    </row>
    <row r="803" spans="1:17">
      <c r="A803" s="2">
        <v>804</v>
      </c>
      <c r="B803" s="4">
        <f>YEAR(H803)</f>
        <v>2023</v>
      </c>
      <c r="C803" s="4">
        <f>MONTH(H803)</f>
        <v>8</v>
      </c>
      <c r="D803" s="4">
        <f>DAY(H803)</f>
        <v>24</v>
      </c>
      <c r="E803" s="4" t="str">
        <f>TEXT(H803,"dddd")</f>
        <v>Thursday</v>
      </c>
      <c r="F803" s="4" t="str">
        <f t="shared" si="13"/>
        <v>August</v>
      </c>
      <c r="G803" s="4"/>
      <c r="H803" s="3">
        <v>45162</v>
      </c>
      <c r="I803" s="4" t="s">
        <v>837</v>
      </c>
      <c r="J803" s="4" t="s">
        <v>27</v>
      </c>
      <c r="K803" s="4">
        <v>27</v>
      </c>
      <c r="L803" s="4" t="str" cm="1">
        <f t="array" ref="L803">_xlfn.IFS(K803&gt;=50, "Senior", K803&gt;=30, "Adult", K803&lt;30, "Young Adult")</f>
        <v>Young Adult</v>
      </c>
      <c r="M803" s="4" t="s">
        <v>10</v>
      </c>
      <c r="N803" s="4">
        <v>1</v>
      </c>
      <c r="O803" s="5">
        <v>30</v>
      </c>
      <c r="P803">
        <f>N803*O803</f>
        <v>30</v>
      </c>
      <c r="Q803">
        <f>(P803*$U$4)</f>
        <v>0.44999999999999996</v>
      </c>
    </row>
    <row r="804" spans="1:17">
      <c r="A804" s="2">
        <v>805</v>
      </c>
      <c r="B804" s="4">
        <f>YEAR(H804)</f>
        <v>2023</v>
      </c>
      <c r="C804" s="4">
        <f>MONTH(H804)</f>
        <v>12</v>
      </c>
      <c r="D804" s="4">
        <f>DAY(H804)</f>
        <v>29</v>
      </c>
      <c r="E804" s="4" t="str">
        <f>TEXT(H804,"dddd")</f>
        <v>Friday</v>
      </c>
      <c r="F804" s="4" t="str">
        <f t="shared" si="13"/>
        <v>December</v>
      </c>
      <c r="G804" s="4"/>
      <c r="H804" s="3">
        <v>45289</v>
      </c>
      <c r="I804" s="4" t="s">
        <v>838</v>
      </c>
      <c r="J804" s="4" t="s">
        <v>29</v>
      </c>
      <c r="K804" s="4">
        <v>27</v>
      </c>
      <c r="L804" s="4" t="str" cm="1">
        <f t="array" ref="L804">_xlfn.IFS(K804&gt;=50, "Senior", K804&gt;=30, "Adult", K804&lt;30, "Young Adult")</f>
        <v>Young Adult</v>
      </c>
      <c r="M804" s="4" t="s">
        <v>3</v>
      </c>
      <c r="N804" s="4">
        <v>3</v>
      </c>
      <c r="O804" s="5">
        <v>500</v>
      </c>
      <c r="P804">
        <f>N804*O804</f>
        <v>1500</v>
      </c>
      <c r="Q804">
        <f>(P804*$U$4)</f>
        <v>22.5</v>
      </c>
    </row>
    <row r="805" spans="1:17">
      <c r="A805" s="2">
        <v>806</v>
      </c>
      <c r="B805" s="4">
        <f>YEAR(H805)</f>
        <v>2023</v>
      </c>
      <c r="C805" s="4">
        <f>MONTH(H805)</f>
        <v>3</v>
      </c>
      <c r="D805" s="4">
        <f>DAY(H805)</f>
        <v>20</v>
      </c>
      <c r="E805" s="4" t="str">
        <f>TEXT(H805,"dddd")</f>
        <v>Monday</v>
      </c>
      <c r="F805" s="4" t="str">
        <f t="shared" si="13"/>
        <v>March</v>
      </c>
      <c r="G805" s="4"/>
      <c r="H805" s="3">
        <v>45005</v>
      </c>
      <c r="I805" s="4" t="s">
        <v>839</v>
      </c>
      <c r="J805" s="4" t="s">
        <v>29</v>
      </c>
      <c r="K805" s="4">
        <v>27</v>
      </c>
      <c r="L805" s="4" t="str" cm="1">
        <f t="array" ref="L805">_xlfn.IFS(K805&gt;=50, "Senior", K805&gt;=30, "Adult", K805&lt;30, "Young Adult")</f>
        <v>Young Adult</v>
      </c>
      <c r="M805" s="4" t="s">
        <v>3</v>
      </c>
      <c r="N805" s="4">
        <v>3</v>
      </c>
      <c r="O805" s="5">
        <v>300</v>
      </c>
      <c r="P805">
        <f>N805*O805</f>
        <v>900</v>
      </c>
      <c r="Q805">
        <f>(P805*$U$4)</f>
        <v>13.5</v>
      </c>
    </row>
    <row r="806" spans="1:17">
      <c r="A806" s="2">
        <v>807</v>
      </c>
      <c r="B806" s="4">
        <f>YEAR(H806)</f>
        <v>2023</v>
      </c>
      <c r="C806" s="4">
        <f>MONTH(H806)</f>
        <v>8</v>
      </c>
      <c r="D806" s="4">
        <f>DAY(H806)</f>
        <v>11</v>
      </c>
      <c r="E806" s="4" t="str">
        <f>TEXT(H806,"dddd")</f>
        <v>Friday</v>
      </c>
      <c r="F806" s="4" t="str">
        <f t="shared" si="13"/>
        <v>August</v>
      </c>
      <c r="G806" s="4"/>
      <c r="H806" s="3">
        <v>45149</v>
      </c>
      <c r="I806" s="4" t="s">
        <v>840</v>
      </c>
      <c r="J806" s="4" t="s">
        <v>29</v>
      </c>
      <c r="K806" s="4">
        <v>27</v>
      </c>
      <c r="L806" s="4" t="str" cm="1">
        <f t="array" ref="L806">_xlfn.IFS(K806&gt;=50, "Senior", K806&gt;=30, "Adult", K806&lt;30, "Young Adult")</f>
        <v>Young Adult</v>
      </c>
      <c r="M806" s="4" t="s">
        <v>10</v>
      </c>
      <c r="N806" s="4">
        <v>4</v>
      </c>
      <c r="O806" s="5">
        <v>50</v>
      </c>
      <c r="P806">
        <f>N806*O806</f>
        <v>200</v>
      </c>
      <c r="Q806">
        <f>(P806*$U$4)</f>
        <v>3</v>
      </c>
    </row>
    <row r="807" spans="1:17">
      <c r="A807" s="2">
        <v>808</v>
      </c>
      <c r="B807" s="4">
        <f>YEAR(H807)</f>
        <v>2023</v>
      </c>
      <c r="C807" s="4">
        <f>MONTH(H807)</f>
        <v>4</v>
      </c>
      <c r="D807" s="4">
        <f>DAY(H807)</f>
        <v>1</v>
      </c>
      <c r="E807" s="4" t="str">
        <f>TEXT(H807,"dddd")</f>
        <v>Saturday</v>
      </c>
      <c r="F807" s="4" t="str">
        <f t="shared" si="13"/>
        <v>April</v>
      </c>
      <c r="G807" s="4"/>
      <c r="H807" s="3">
        <v>45017</v>
      </c>
      <c r="I807" s="4" t="s">
        <v>841</v>
      </c>
      <c r="J807" s="4" t="s">
        <v>27</v>
      </c>
      <c r="K807" s="4">
        <v>27</v>
      </c>
      <c r="L807" s="4" t="str" cm="1">
        <f t="array" ref="L807">_xlfn.IFS(K807&gt;=50, "Senior", K807&gt;=30, "Adult", K807&lt;30, "Young Adult")</f>
        <v>Young Adult</v>
      </c>
      <c r="M807" s="4" t="s">
        <v>3</v>
      </c>
      <c r="N807" s="4">
        <v>4</v>
      </c>
      <c r="O807" s="5">
        <v>500</v>
      </c>
      <c r="P807">
        <f>N807*O807</f>
        <v>2000</v>
      </c>
      <c r="Q807">
        <f>(P807*$U$4)</f>
        <v>30</v>
      </c>
    </row>
    <row r="808" spans="1:17">
      <c r="A808" s="2">
        <v>809</v>
      </c>
      <c r="B808" s="4">
        <f>YEAR(H808)</f>
        <v>2023</v>
      </c>
      <c r="C808" s="4">
        <f>MONTH(H808)</f>
        <v>9</v>
      </c>
      <c r="D808" s="4">
        <f>DAY(H808)</f>
        <v>25</v>
      </c>
      <c r="E808" s="4" t="str">
        <f>TEXT(H808,"dddd")</f>
        <v>Monday</v>
      </c>
      <c r="F808" s="4" t="str">
        <f t="shared" si="13"/>
        <v>September</v>
      </c>
      <c r="G808" s="4"/>
      <c r="H808" s="3">
        <v>45194</v>
      </c>
      <c r="I808" s="4" t="s">
        <v>842</v>
      </c>
      <c r="J808" s="4" t="s">
        <v>29</v>
      </c>
      <c r="K808" s="4">
        <v>27</v>
      </c>
      <c r="L808" s="4" t="str" cm="1">
        <f t="array" ref="L808">_xlfn.IFS(K808&gt;=50, "Senior", K808&gt;=30, "Adult", K808&lt;30, "Young Adult")</f>
        <v>Young Adult</v>
      </c>
      <c r="M808" s="4" t="s">
        <v>3</v>
      </c>
      <c r="N808" s="4">
        <v>2</v>
      </c>
      <c r="O808" s="5">
        <v>50</v>
      </c>
      <c r="P808">
        <f>N808*O808</f>
        <v>100</v>
      </c>
      <c r="Q808">
        <f>(P808*$U$4)</f>
        <v>1.5</v>
      </c>
    </row>
    <row r="809" spans="1:17">
      <c r="A809" s="2">
        <v>810</v>
      </c>
      <c r="B809" s="4">
        <f>YEAR(H809)</f>
        <v>2023</v>
      </c>
      <c r="C809" s="4">
        <f>MONTH(H809)</f>
        <v>11</v>
      </c>
      <c r="D809" s="4">
        <f>DAY(H809)</f>
        <v>30</v>
      </c>
      <c r="E809" s="4" t="str">
        <f>TEXT(H809,"dddd")</f>
        <v>Thursday</v>
      </c>
      <c r="F809" s="4" t="str">
        <f t="shared" si="13"/>
        <v>November</v>
      </c>
      <c r="G809" s="4"/>
      <c r="H809" s="3">
        <v>45260</v>
      </c>
      <c r="I809" s="4" t="s">
        <v>843</v>
      </c>
      <c r="J809" s="4" t="s">
        <v>27</v>
      </c>
      <c r="K809" s="4">
        <v>26</v>
      </c>
      <c r="L809" s="4" t="str" cm="1">
        <f t="array" ref="L809">_xlfn.IFS(K809&gt;=50, "Senior", K809&gt;=30, "Adult", K809&lt;30, "Young Adult")</f>
        <v>Young Adult</v>
      </c>
      <c r="M809" s="4" t="s">
        <v>10</v>
      </c>
      <c r="N809" s="4">
        <v>4</v>
      </c>
      <c r="O809" s="5">
        <v>25</v>
      </c>
      <c r="P809">
        <f>N809*O809</f>
        <v>100</v>
      </c>
      <c r="Q809">
        <f>(P809*$U$4)</f>
        <v>1.5</v>
      </c>
    </row>
    <row r="810" spans="1:17">
      <c r="A810" s="2">
        <v>811</v>
      </c>
      <c r="B810" s="4">
        <f>YEAR(H810)</f>
        <v>2023</v>
      </c>
      <c r="C810" s="4">
        <f>MONTH(H810)</f>
        <v>5</v>
      </c>
      <c r="D810" s="4">
        <f>DAY(H810)</f>
        <v>19</v>
      </c>
      <c r="E810" s="4" t="str">
        <f>TEXT(H810,"dddd")</f>
        <v>Friday</v>
      </c>
      <c r="F810" s="4" t="str">
        <f t="shared" si="13"/>
        <v>May</v>
      </c>
      <c r="G810" s="4"/>
      <c r="H810" s="3">
        <v>45065</v>
      </c>
      <c r="I810" s="4" t="s">
        <v>844</v>
      </c>
      <c r="J810" s="4" t="s">
        <v>27</v>
      </c>
      <c r="K810" s="4">
        <v>26</v>
      </c>
      <c r="L810" s="4" t="str" cm="1">
        <f t="array" ref="L810">_xlfn.IFS(K810&gt;=50, "Senior", K810&gt;=30, "Adult", K810&lt;30, "Young Adult")</f>
        <v>Young Adult</v>
      </c>
      <c r="M810" s="4" t="s">
        <v>3</v>
      </c>
      <c r="N810" s="4">
        <v>2</v>
      </c>
      <c r="O810" s="5">
        <v>25</v>
      </c>
      <c r="P810">
        <f>N810*O810</f>
        <v>50</v>
      </c>
      <c r="Q810">
        <f>(P810*$U$4)</f>
        <v>0.75</v>
      </c>
    </row>
    <row r="811" spans="1:17">
      <c r="A811" s="2">
        <v>812</v>
      </c>
      <c r="B811" s="4">
        <f>YEAR(H811)</f>
        <v>2023</v>
      </c>
      <c r="C811" s="4">
        <f>MONTH(H811)</f>
        <v>11</v>
      </c>
      <c r="D811" s="4">
        <f>DAY(H811)</f>
        <v>12</v>
      </c>
      <c r="E811" s="4" t="str">
        <f>TEXT(H811,"dddd")</f>
        <v>Sunday</v>
      </c>
      <c r="F811" s="4" t="str">
        <f t="shared" si="13"/>
        <v>November</v>
      </c>
      <c r="G811" s="4"/>
      <c r="H811" s="3">
        <v>45242</v>
      </c>
      <c r="I811" s="4" t="s">
        <v>845</v>
      </c>
      <c r="J811" s="4" t="s">
        <v>27</v>
      </c>
      <c r="K811" s="4">
        <v>26</v>
      </c>
      <c r="L811" s="4" t="str" cm="1">
        <f t="array" ref="L811">_xlfn.IFS(K811&gt;=50, "Senior", K811&gt;=30, "Adult", K811&lt;30, "Young Adult")</f>
        <v>Young Adult</v>
      </c>
      <c r="M811" s="4" t="s">
        <v>10</v>
      </c>
      <c r="N811" s="4">
        <v>3</v>
      </c>
      <c r="O811" s="5">
        <v>25</v>
      </c>
      <c r="P811">
        <f>N811*O811</f>
        <v>75</v>
      </c>
      <c r="Q811">
        <f>(P811*$U$4)</f>
        <v>1.125</v>
      </c>
    </row>
    <row r="812" spans="1:17">
      <c r="A812" s="2">
        <v>813</v>
      </c>
      <c r="B812" s="4">
        <f>YEAR(H812)</f>
        <v>2023</v>
      </c>
      <c r="C812" s="4">
        <f>MONTH(H812)</f>
        <v>10</v>
      </c>
      <c r="D812" s="4">
        <f>DAY(H812)</f>
        <v>3</v>
      </c>
      <c r="E812" s="4" t="str">
        <f>TEXT(H812,"dddd")</f>
        <v>Tuesday</v>
      </c>
      <c r="F812" s="4" t="str">
        <f t="shared" si="13"/>
        <v>October</v>
      </c>
      <c r="G812" s="4"/>
      <c r="H812" s="3">
        <v>45202</v>
      </c>
      <c r="I812" s="4" t="s">
        <v>846</v>
      </c>
      <c r="J812" s="4" t="s">
        <v>27</v>
      </c>
      <c r="K812" s="4">
        <v>26</v>
      </c>
      <c r="L812" s="4" t="str" cm="1">
        <f t="array" ref="L812">_xlfn.IFS(K812&gt;=50, "Senior", K812&gt;=30, "Adult", K812&lt;30, "Young Adult")</f>
        <v>Young Adult</v>
      </c>
      <c r="M812" s="4" t="s">
        <v>10</v>
      </c>
      <c r="N812" s="4">
        <v>3</v>
      </c>
      <c r="O812" s="5">
        <v>50</v>
      </c>
      <c r="P812">
        <f>N812*O812</f>
        <v>150</v>
      </c>
      <c r="Q812">
        <f>(P812*$U$4)</f>
        <v>2.25</v>
      </c>
    </row>
    <row r="813" spans="1:17">
      <c r="A813" s="2">
        <v>814</v>
      </c>
      <c r="B813" s="4">
        <f>YEAR(H813)</f>
        <v>2023</v>
      </c>
      <c r="C813" s="4">
        <f>MONTH(H813)</f>
        <v>9</v>
      </c>
      <c r="D813" s="4">
        <f>DAY(H813)</f>
        <v>5</v>
      </c>
      <c r="E813" s="4" t="str">
        <f>TEXT(H813,"dddd")</f>
        <v>Tuesday</v>
      </c>
      <c r="F813" s="4" t="str">
        <f t="shared" si="13"/>
        <v>September</v>
      </c>
      <c r="G813" s="4"/>
      <c r="H813" s="3">
        <v>45174</v>
      </c>
      <c r="I813" s="4" t="s">
        <v>847</v>
      </c>
      <c r="J813" s="4" t="s">
        <v>29</v>
      </c>
      <c r="K813" s="4">
        <v>26</v>
      </c>
      <c r="L813" s="4" t="str" cm="1">
        <f t="array" ref="L813">_xlfn.IFS(K813&gt;=50, "Senior", K813&gt;=30, "Adult", K813&lt;30, "Young Adult")</f>
        <v>Young Adult</v>
      </c>
      <c r="M813" s="4" t="s">
        <v>8</v>
      </c>
      <c r="N813" s="4">
        <v>1</v>
      </c>
      <c r="O813" s="5">
        <v>500</v>
      </c>
      <c r="P813">
        <f>N813*O813</f>
        <v>500</v>
      </c>
      <c r="Q813">
        <f>(P813*$U$4)</f>
        <v>7.5</v>
      </c>
    </row>
    <row r="814" spans="1:17">
      <c r="A814" s="2">
        <v>815</v>
      </c>
      <c r="B814" s="4">
        <f>YEAR(H814)</f>
        <v>2023</v>
      </c>
      <c r="C814" s="4">
        <f>MONTH(H814)</f>
        <v>8</v>
      </c>
      <c r="D814" s="4">
        <f>DAY(H814)</f>
        <v>27</v>
      </c>
      <c r="E814" s="4" t="str">
        <f>TEXT(H814,"dddd")</f>
        <v>Sunday</v>
      </c>
      <c r="F814" s="4" t="str">
        <f t="shared" si="13"/>
        <v>August</v>
      </c>
      <c r="G814" s="4"/>
      <c r="H814" s="3">
        <v>45165</v>
      </c>
      <c r="I814" s="4" t="s">
        <v>848</v>
      </c>
      <c r="J814" s="4" t="s">
        <v>29</v>
      </c>
      <c r="K814" s="4">
        <v>26</v>
      </c>
      <c r="L814" s="4" t="str" cm="1">
        <f t="array" ref="L814">_xlfn.IFS(K814&gt;=50, "Senior", K814&gt;=30, "Adult", K814&lt;30, "Young Adult")</f>
        <v>Young Adult</v>
      </c>
      <c r="M814" s="4" t="s">
        <v>8</v>
      </c>
      <c r="N814" s="4">
        <v>3</v>
      </c>
      <c r="O814" s="5">
        <v>25</v>
      </c>
      <c r="P814">
        <f>N814*O814</f>
        <v>75</v>
      </c>
      <c r="Q814">
        <f>(P814*$U$4)</f>
        <v>1.125</v>
      </c>
    </row>
    <row r="815" spans="1:17">
      <c r="A815" s="2">
        <v>816</v>
      </c>
      <c r="B815" s="4">
        <f>YEAR(H815)</f>
        <v>2023</v>
      </c>
      <c r="C815" s="4">
        <f>MONTH(H815)</f>
        <v>8</v>
      </c>
      <c r="D815" s="4">
        <f>DAY(H815)</f>
        <v>12</v>
      </c>
      <c r="E815" s="4" t="str">
        <f>TEXT(H815,"dddd")</f>
        <v>Saturday</v>
      </c>
      <c r="F815" s="4" t="str">
        <f t="shared" si="13"/>
        <v>August</v>
      </c>
      <c r="G815" s="4"/>
      <c r="H815" s="3">
        <v>45150</v>
      </c>
      <c r="I815" s="4" t="s">
        <v>849</v>
      </c>
      <c r="J815" s="4" t="s">
        <v>27</v>
      </c>
      <c r="K815" s="4">
        <v>26</v>
      </c>
      <c r="L815" s="4" t="str" cm="1">
        <f t="array" ref="L815">_xlfn.IFS(K815&gt;=50, "Senior", K815&gt;=30, "Adult", K815&lt;30, "Young Adult")</f>
        <v>Young Adult</v>
      </c>
      <c r="M815" s="4" t="s">
        <v>3</v>
      </c>
      <c r="N815" s="4">
        <v>2</v>
      </c>
      <c r="O815" s="5">
        <v>500</v>
      </c>
      <c r="P815">
        <f>N815*O815</f>
        <v>1000</v>
      </c>
      <c r="Q815">
        <f>(P815*$U$4)</f>
        <v>15</v>
      </c>
    </row>
    <row r="816" spans="1:17">
      <c r="A816" s="2">
        <v>817</v>
      </c>
      <c r="B816" s="4">
        <f>YEAR(H816)</f>
        <v>2023</v>
      </c>
      <c r="C816" s="4">
        <f>MONTH(H816)</f>
        <v>10</v>
      </c>
      <c r="D816" s="4">
        <f>DAY(H816)</f>
        <v>31</v>
      </c>
      <c r="E816" s="4" t="str">
        <f>TEXT(H816,"dddd")</f>
        <v>Tuesday</v>
      </c>
      <c r="F816" s="4" t="str">
        <f t="shared" si="13"/>
        <v>October</v>
      </c>
      <c r="G816" s="4"/>
      <c r="H816" s="3">
        <v>45230</v>
      </c>
      <c r="I816" s="4" t="s">
        <v>850</v>
      </c>
      <c r="J816" s="4" t="s">
        <v>27</v>
      </c>
      <c r="K816" s="4">
        <v>26</v>
      </c>
      <c r="L816" s="4" t="str" cm="1">
        <f t="array" ref="L816">_xlfn.IFS(K816&gt;=50, "Senior", K816&gt;=30, "Adult", K816&lt;30, "Young Adult")</f>
        <v>Young Adult</v>
      </c>
      <c r="M816" s="4" t="s">
        <v>3</v>
      </c>
      <c r="N816" s="4">
        <v>4</v>
      </c>
      <c r="O816" s="5">
        <v>50</v>
      </c>
      <c r="P816">
        <f>N816*O816</f>
        <v>200</v>
      </c>
      <c r="Q816">
        <f>(P816*$U$4)</f>
        <v>3</v>
      </c>
    </row>
    <row r="817" spans="1:17">
      <c r="A817" s="2">
        <v>818</v>
      </c>
      <c r="B817" s="4">
        <f>YEAR(H817)</f>
        <v>2023</v>
      </c>
      <c r="C817" s="4">
        <f>MONTH(H817)</f>
        <v>5</v>
      </c>
      <c r="D817" s="4">
        <f>DAY(H817)</f>
        <v>18</v>
      </c>
      <c r="E817" s="4" t="str">
        <f>TEXT(H817,"dddd")</f>
        <v>Thursday</v>
      </c>
      <c r="F817" s="4" t="str">
        <f t="shared" si="13"/>
        <v>May</v>
      </c>
      <c r="G817" s="4"/>
      <c r="H817" s="3">
        <v>45064</v>
      </c>
      <c r="I817" s="4" t="s">
        <v>851</v>
      </c>
      <c r="J817" s="4" t="s">
        <v>27</v>
      </c>
      <c r="K817" s="4">
        <v>26</v>
      </c>
      <c r="L817" s="4" t="str" cm="1">
        <f t="array" ref="L817">_xlfn.IFS(K817&gt;=50, "Senior", K817&gt;=30, "Adult", K817&lt;30, "Young Adult")</f>
        <v>Young Adult</v>
      </c>
      <c r="M817" s="4" t="s">
        <v>10</v>
      </c>
      <c r="N817" s="4">
        <v>1</v>
      </c>
      <c r="O817" s="5">
        <v>500</v>
      </c>
      <c r="P817">
        <f>N817*O817</f>
        <v>500</v>
      </c>
      <c r="Q817">
        <f>(P817*$U$4)</f>
        <v>7.5</v>
      </c>
    </row>
    <row r="818" spans="1:17">
      <c r="A818" s="2">
        <v>819</v>
      </c>
      <c r="B818" s="4">
        <f>YEAR(H818)</f>
        <v>2023</v>
      </c>
      <c r="C818" s="4">
        <f>MONTH(H818)</f>
        <v>6</v>
      </c>
      <c r="D818" s="4">
        <f>DAY(H818)</f>
        <v>15</v>
      </c>
      <c r="E818" s="4" t="str">
        <f>TEXT(H818,"dddd")</f>
        <v>Thursday</v>
      </c>
      <c r="F818" s="4" t="str">
        <f t="shared" si="13"/>
        <v>June</v>
      </c>
      <c r="G818" s="4"/>
      <c r="H818" s="3">
        <v>45092</v>
      </c>
      <c r="I818" s="4" t="s">
        <v>852</v>
      </c>
      <c r="J818" s="4" t="s">
        <v>29</v>
      </c>
      <c r="K818" s="4">
        <v>26</v>
      </c>
      <c r="L818" s="4" t="str" cm="1">
        <f t="array" ref="L818">_xlfn.IFS(K818&gt;=50, "Senior", K818&gt;=30, "Adult", K818&lt;30, "Young Adult")</f>
        <v>Young Adult</v>
      </c>
      <c r="M818" s="4" t="s">
        <v>3</v>
      </c>
      <c r="N818" s="4">
        <v>2</v>
      </c>
      <c r="O818" s="5">
        <v>50</v>
      </c>
      <c r="P818">
        <f>N818*O818</f>
        <v>100</v>
      </c>
      <c r="Q818">
        <f>(P818*$U$4)</f>
        <v>1.5</v>
      </c>
    </row>
    <row r="819" spans="1:17">
      <c r="A819" s="2">
        <v>820</v>
      </c>
      <c r="B819" s="4">
        <f>YEAR(H819)</f>
        <v>2023</v>
      </c>
      <c r="C819" s="4">
        <f>MONTH(H819)</f>
        <v>5</v>
      </c>
      <c r="D819" s="4">
        <f>DAY(H819)</f>
        <v>6</v>
      </c>
      <c r="E819" s="4" t="str">
        <f>TEXT(H819,"dddd")</f>
        <v>Saturday</v>
      </c>
      <c r="F819" s="4" t="str">
        <f t="shared" si="13"/>
        <v>May</v>
      </c>
      <c r="G819" s="4"/>
      <c r="H819" s="3">
        <v>45052</v>
      </c>
      <c r="I819" s="4" t="s">
        <v>853</v>
      </c>
      <c r="J819" s="4" t="s">
        <v>27</v>
      </c>
      <c r="K819" s="4">
        <v>26</v>
      </c>
      <c r="L819" s="4" t="str" cm="1">
        <f t="array" ref="L819">_xlfn.IFS(K819&gt;=50, "Senior", K819&gt;=30, "Adult", K819&lt;30, "Young Adult")</f>
        <v>Young Adult</v>
      </c>
      <c r="M819" s="4" t="s">
        <v>10</v>
      </c>
      <c r="N819" s="4">
        <v>4</v>
      </c>
      <c r="O819" s="5">
        <v>50</v>
      </c>
      <c r="P819">
        <f>N819*O819</f>
        <v>200</v>
      </c>
      <c r="Q819">
        <f>(P819*$U$4)</f>
        <v>3</v>
      </c>
    </row>
    <row r="820" spans="1:17">
      <c r="A820" s="2">
        <v>821</v>
      </c>
      <c r="B820" s="4">
        <f>YEAR(H820)</f>
        <v>2023</v>
      </c>
      <c r="C820" s="4">
        <f>MONTH(H820)</f>
        <v>2</v>
      </c>
      <c r="D820" s="4">
        <f>DAY(H820)</f>
        <v>14</v>
      </c>
      <c r="E820" s="4" t="str">
        <f>TEXT(H820,"dddd")</f>
        <v>Tuesday</v>
      </c>
      <c r="F820" s="4" t="str">
        <f t="shared" si="13"/>
        <v>February</v>
      </c>
      <c r="G820" s="4"/>
      <c r="H820" s="3">
        <v>44971</v>
      </c>
      <c r="I820" s="4" t="s">
        <v>854</v>
      </c>
      <c r="J820" s="4" t="s">
        <v>27</v>
      </c>
      <c r="K820" s="4">
        <v>26</v>
      </c>
      <c r="L820" s="4" t="str" cm="1">
        <f t="array" ref="L820">_xlfn.IFS(K820&gt;=50, "Senior", K820&gt;=30, "Adult", K820&lt;30, "Young Adult")</f>
        <v>Young Adult</v>
      </c>
      <c r="M820" s="4" t="s">
        <v>10</v>
      </c>
      <c r="N820" s="4">
        <v>1</v>
      </c>
      <c r="O820" s="5">
        <v>300</v>
      </c>
      <c r="P820">
        <f>N820*O820</f>
        <v>300</v>
      </c>
      <c r="Q820">
        <f>(P820*$U$4)</f>
        <v>4.5</v>
      </c>
    </row>
    <row r="821" spans="1:17">
      <c r="A821" s="2">
        <v>822</v>
      </c>
      <c r="B821" s="4">
        <f>YEAR(H821)</f>
        <v>2023</v>
      </c>
      <c r="C821" s="4">
        <f>MONTH(H821)</f>
        <v>5</v>
      </c>
      <c r="D821" s="4">
        <f>DAY(H821)</f>
        <v>23</v>
      </c>
      <c r="E821" s="4" t="str">
        <f>TEXT(H821,"dddd")</f>
        <v>Tuesday</v>
      </c>
      <c r="F821" s="4" t="str">
        <f t="shared" si="13"/>
        <v>May</v>
      </c>
      <c r="G821" s="4"/>
      <c r="H821" s="3">
        <v>45069</v>
      </c>
      <c r="I821" s="4" t="s">
        <v>855</v>
      </c>
      <c r="J821" s="4" t="s">
        <v>29</v>
      </c>
      <c r="K821" s="4">
        <v>26</v>
      </c>
      <c r="L821" s="4" t="str" cm="1">
        <f t="array" ref="L821">_xlfn.IFS(K821&gt;=50, "Senior", K821&gt;=30, "Adult", K821&lt;30, "Young Adult")</f>
        <v>Young Adult</v>
      </c>
      <c r="M821" s="4" t="s">
        <v>3</v>
      </c>
      <c r="N821" s="4">
        <v>3</v>
      </c>
      <c r="O821" s="5">
        <v>50</v>
      </c>
      <c r="P821">
        <f>N821*O821</f>
        <v>150</v>
      </c>
      <c r="Q821">
        <f>(P821*$U$4)</f>
        <v>2.25</v>
      </c>
    </row>
    <row r="822" spans="1:17">
      <c r="A822" s="2">
        <v>823</v>
      </c>
      <c r="B822" s="4">
        <f>YEAR(H822)</f>
        <v>2023</v>
      </c>
      <c r="C822" s="4">
        <f>MONTH(H822)</f>
        <v>8</v>
      </c>
      <c r="D822" s="4">
        <f>DAY(H822)</f>
        <v>19</v>
      </c>
      <c r="E822" s="4" t="str">
        <f>TEXT(H822,"dddd")</f>
        <v>Saturday</v>
      </c>
      <c r="F822" s="4" t="str">
        <f t="shared" si="13"/>
        <v>August</v>
      </c>
      <c r="G822" s="4"/>
      <c r="H822" s="3">
        <v>45157</v>
      </c>
      <c r="I822" s="4" t="s">
        <v>856</v>
      </c>
      <c r="J822" s="4" t="s">
        <v>29</v>
      </c>
      <c r="K822" s="4">
        <v>26</v>
      </c>
      <c r="L822" s="4" t="str" cm="1">
        <f t="array" ref="L822">_xlfn.IFS(K822&gt;=50, "Senior", K822&gt;=30, "Adult", K822&lt;30, "Young Adult")</f>
        <v>Young Adult</v>
      </c>
      <c r="M822" s="4" t="s">
        <v>10</v>
      </c>
      <c r="N822" s="4">
        <v>2</v>
      </c>
      <c r="O822" s="5">
        <v>50</v>
      </c>
      <c r="P822">
        <f>N822*O822</f>
        <v>100</v>
      </c>
      <c r="Q822">
        <f>(P822*$U$4)</f>
        <v>1.5</v>
      </c>
    </row>
    <row r="823" spans="1:17">
      <c r="A823" s="2">
        <v>824</v>
      </c>
      <c r="B823" s="4">
        <f>YEAR(H823)</f>
        <v>2023</v>
      </c>
      <c r="C823" s="4">
        <f>MONTH(H823)</f>
        <v>5</v>
      </c>
      <c r="D823" s="4">
        <f>DAY(H823)</f>
        <v>5</v>
      </c>
      <c r="E823" s="4" t="str">
        <f>TEXT(H823,"dddd")</f>
        <v>Friday</v>
      </c>
      <c r="F823" s="4" t="str">
        <f t="shared" si="13"/>
        <v>May</v>
      </c>
      <c r="G823" s="4"/>
      <c r="H823" s="3">
        <v>45051</v>
      </c>
      <c r="I823" s="4" t="s">
        <v>857</v>
      </c>
      <c r="J823" s="4" t="s">
        <v>27</v>
      </c>
      <c r="K823" s="4">
        <v>26</v>
      </c>
      <c r="L823" s="4" t="str" cm="1">
        <f t="array" ref="L823">_xlfn.IFS(K823&gt;=50, "Senior", K823&gt;=30, "Adult", K823&lt;30, "Young Adult")</f>
        <v>Young Adult</v>
      </c>
      <c r="M823" s="4" t="s">
        <v>8</v>
      </c>
      <c r="N823" s="4">
        <v>4</v>
      </c>
      <c r="O823" s="5">
        <v>30</v>
      </c>
      <c r="P823">
        <f>N823*O823</f>
        <v>120</v>
      </c>
      <c r="Q823">
        <f>(P823*$U$4)</f>
        <v>1.7999999999999998</v>
      </c>
    </row>
    <row r="824" spans="1:17">
      <c r="A824" s="2">
        <v>825</v>
      </c>
      <c r="B824" s="4">
        <f>YEAR(H824)</f>
        <v>2023</v>
      </c>
      <c r="C824" s="4">
        <f>MONTH(H824)</f>
        <v>8</v>
      </c>
      <c r="D824" s="4">
        <f>DAY(H824)</f>
        <v>26</v>
      </c>
      <c r="E824" s="4" t="str">
        <f>TEXT(H824,"dddd")</f>
        <v>Saturday</v>
      </c>
      <c r="F824" s="4" t="str">
        <f t="shared" si="13"/>
        <v>August</v>
      </c>
      <c r="G824" s="4"/>
      <c r="H824" s="3">
        <v>45164</v>
      </c>
      <c r="I824" s="4" t="s">
        <v>858</v>
      </c>
      <c r="J824" s="4" t="s">
        <v>29</v>
      </c>
      <c r="K824" s="4">
        <v>26</v>
      </c>
      <c r="L824" s="4" t="str" cm="1">
        <f t="array" ref="L824">_xlfn.IFS(K824&gt;=50, "Senior", K824&gt;=30, "Adult", K824&lt;30, "Young Adult")</f>
        <v>Young Adult</v>
      </c>
      <c r="M824" s="4" t="s">
        <v>3</v>
      </c>
      <c r="N824" s="4">
        <v>1</v>
      </c>
      <c r="O824" s="5">
        <v>25</v>
      </c>
      <c r="P824">
        <f>N824*O824</f>
        <v>25</v>
      </c>
      <c r="Q824">
        <f>(P824*$U$4)</f>
        <v>0.375</v>
      </c>
    </row>
    <row r="825" spans="1:17">
      <c r="A825" s="2">
        <v>826</v>
      </c>
      <c r="B825" s="4">
        <f>YEAR(H825)</f>
        <v>2023</v>
      </c>
      <c r="C825" s="4">
        <f>MONTH(H825)</f>
        <v>10</v>
      </c>
      <c r="D825" s="4">
        <f>DAY(H825)</f>
        <v>19</v>
      </c>
      <c r="E825" s="4" t="str">
        <f>TEXT(H825,"dddd")</f>
        <v>Thursday</v>
      </c>
      <c r="F825" s="4" t="str">
        <f t="shared" si="13"/>
        <v>October</v>
      </c>
      <c r="G825" s="4"/>
      <c r="H825" s="3">
        <v>45218</v>
      </c>
      <c r="I825" s="4" t="s">
        <v>859</v>
      </c>
      <c r="J825" s="4" t="s">
        <v>29</v>
      </c>
      <c r="K825" s="4">
        <v>26</v>
      </c>
      <c r="L825" s="4" t="str" cm="1">
        <f t="array" ref="L825">_xlfn.IFS(K825&gt;=50, "Senior", K825&gt;=30, "Adult", K825&lt;30, "Young Adult")</f>
        <v>Young Adult</v>
      </c>
      <c r="M825" s="4" t="s">
        <v>8</v>
      </c>
      <c r="N825" s="4">
        <v>1</v>
      </c>
      <c r="O825" s="5">
        <v>300</v>
      </c>
      <c r="P825">
        <f>N825*O825</f>
        <v>300</v>
      </c>
      <c r="Q825">
        <f>(P825*$U$4)</f>
        <v>4.5</v>
      </c>
    </row>
    <row r="826" spans="1:17">
      <c r="A826" s="2">
        <v>827</v>
      </c>
      <c r="B826" s="4">
        <f>YEAR(H826)</f>
        <v>2023</v>
      </c>
      <c r="C826" s="4">
        <f>MONTH(H826)</f>
        <v>11</v>
      </c>
      <c r="D826" s="4">
        <f>DAY(H826)</f>
        <v>9</v>
      </c>
      <c r="E826" s="4" t="str">
        <f>TEXT(H826,"dddd")</f>
        <v>Thursday</v>
      </c>
      <c r="F826" s="4" t="str">
        <f t="shared" si="13"/>
        <v>November</v>
      </c>
      <c r="G826" s="4"/>
      <c r="H826" s="3">
        <v>45239</v>
      </c>
      <c r="I826" s="4" t="s">
        <v>860</v>
      </c>
      <c r="J826" s="4" t="s">
        <v>27</v>
      </c>
      <c r="K826" s="4">
        <v>26</v>
      </c>
      <c r="L826" s="4" t="str" cm="1">
        <f t="array" ref="L826">_xlfn.IFS(K826&gt;=50, "Senior", K826&gt;=30, "Adult", K826&lt;30, "Young Adult")</f>
        <v>Young Adult</v>
      </c>
      <c r="M826" s="4" t="s">
        <v>3</v>
      </c>
      <c r="N826" s="4">
        <v>3</v>
      </c>
      <c r="O826" s="5">
        <v>300</v>
      </c>
      <c r="P826">
        <f>N826*O826</f>
        <v>900</v>
      </c>
      <c r="Q826">
        <f>(P826*$U$4)</f>
        <v>13.5</v>
      </c>
    </row>
    <row r="827" spans="1:17">
      <c r="A827" s="2">
        <v>828</v>
      </c>
      <c r="B827" s="4">
        <f>YEAR(H827)</f>
        <v>2023</v>
      </c>
      <c r="C827" s="4">
        <f>MONTH(H827)</f>
        <v>12</v>
      </c>
      <c r="D827" s="4">
        <f>DAY(H827)</f>
        <v>9</v>
      </c>
      <c r="E827" s="4" t="str">
        <f>TEXT(H827,"dddd")</f>
        <v>Saturday</v>
      </c>
      <c r="F827" s="4" t="str">
        <f t="shared" si="13"/>
        <v>December</v>
      </c>
      <c r="G827" s="4"/>
      <c r="H827" s="3">
        <v>45269</v>
      </c>
      <c r="I827" s="4" t="s">
        <v>861</v>
      </c>
      <c r="J827" s="4" t="s">
        <v>29</v>
      </c>
      <c r="K827" s="4">
        <v>26</v>
      </c>
      <c r="L827" s="4" t="str" cm="1">
        <f t="array" ref="L827">_xlfn.IFS(K827&gt;=50, "Senior", K827&gt;=30, "Adult", K827&lt;30, "Young Adult")</f>
        <v>Young Adult</v>
      </c>
      <c r="M827" s="4" t="s">
        <v>10</v>
      </c>
      <c r="N827" s="4">
        <v>4</v>
      </c>
      <c r="O827" s="5">
        <v>300</v>
      </c>
      <c r="P827">
        <f>N827*O827</f>
        <v>1200</v>
      </c>
      <c r="Q827">
        <f>(P827*$U$4)</f>
        <v>18</v>
      </c>
    </row>
    <row r="828" spans="1:17">
      <c r="A828" s="2">
        <v>829</v>
      </c>
      <c r="B828" s="4">
        <f>YEAR(H828)</f>
        <v>2023</v>
      </c>
      <c r="C828" s="4">
        <f>MONTH(H828)</f>
        <v>7</v>
      </c>
      <c r="D828" s="4">
        <f>DAY(H828)</f>
        <v>14</v>
      </c>
      <c r="E828" s="4" t="str">
        <f>TEXT(H828,"dddd")</f>
        <v>Friday</v>
      </c>
      <c r="F828" s="4" t="str">
        <f t="shared" si="13"/>
        <v>July</v>
      </c>
      <c r="G828" s="4"/>
      <c r="H828" s="3">
        <v>45121</v>
      </c>
      <c r="I828" s="4" t="s">
        <v>862</v>
      </c>
      <c r="J828" s="4" t="s">
        <v>27</v>
      </c>
      <c r="K828" s="4">
        <v>26</v>
      </c>
      <c r="L828" s="4" t="str" cm="1">
        <f t="array" ref="L828">_xlfn.IFS(K828&gt;=50, "Senior", K828&gt;=30, "Adult", K828&lt;30, "Young Adult")</f>
        <v>Young Adult</v>
      </c>
      <c r="M828" s="4" t="s">
        <v>3</v>
      </c>
      <c r="N828" s="4">
        <v>3</v>
      </c>
      <c r="O828" s="5">
        <v>30</v>
      </c>
      <c r="P828">
        <f>N828*O828</f>
        <v>90</v>
      </c>
      <c r="Q828">
        <f>(P828*$U$4)</f>
        <v>1.3499999999999999</v>
      </c>
    </row>
    <row r="829" spans="1:17">
      <c r="A829" s="2">
        <v>830</v>
      </c>
      <c r="B829" s="4">
        <f>YEAR(H829)</f>
        <v>2023</v>
      </c>
      <c r="C829" s="4">
        <f>MONTH(H829)</f>
        <v>6</v>
      </c>
      <c r="D829" s="4">
        <f>DAY(H829)</f>
        <v>22</v>
      </c>
      <c r="E829" s="4" t="str">
        <f>TEXT(H829,"dddd")</f>
        <v>Thursday</v>
      </c>
      <c r="F829" s="4" t="str">
        <f t="shared" si="13"/>
        <v>June</v>
      </c>
      <c r="G829" s="4"/>
      <c r="H829" s="3">
        <v>45099</v>
      </c>
      <c r="I829" s="4" t="s">
        <v>863</v>
      </c>
      <c r="J829" s="4" t="s">
        <v>29</v>
      </c>
      <c r="K829" s="4">
        <v>26</v>
      </c>
      <c r="L829" s="4" t="str" cm="1">
        <f t="array" ref="L829">_xlfn.IFS(K829&gt;=50, "Senior", K829&gt;=30, "Adult", K829&lt;30, "Young Adult")</f>
        <v>Young Adult</v>
      </c>
      <c r="M829" s="4" t="s">
        <v>8</v>
      </c>
      <c r="N829" s="4">
        <v>3</v>
      </c>
      <c r="O829" s="5">
        <v>50</v>
      </c>
      <c r="P829">
        <f>N829*O829</f>
        <v>150</v>
      </c>
      <c r="Q829">
        <f>(P829*$U$4)</f>
        <v>2.25</v>
      </c>
    </row>
    <row r="830" spans="1:17">
      <c r="A830" s="2">
        <v>831</v>
      </c>
      <c r="B830" s="4">
        <f>YEAR(H830)</f>
        <v>2023</v>
      </c>
      <c r="C830" s="4">
        <f>MONTH(H830)</f>
        <v>1</v>
      </c>
      <c r="D830" s="4">
        <f>DAY(H830)</f>
        <v>15</v>
      </c>
      <c r="E830" s="4" t="str">
        <f>TEXT(H830,"dddd")</f>
        <v>Sunday</v>
      </c>
      <c r="F830" s="4" t="str">
        <f t="shared" si="13"/>
        <v>January</v>
      </c>
      <c r="G830" s="4"/>
      <c r="H830" s="3">
        <v>44941</v>
      </c>
      <c r="I830" s="4" t="s">
        <v>864</v>
      </c>
      <c r="J830" s="4" t="s">
        <v>27</v>
      </c>
      <c r="K830" s="4">
        <v>26</v>
      </c>
      <c r="L830" s="4" t="str" cm="1">
        <f t="array" ref="L830">_xlfn.IFS(K830&gt;=50, "Senior", K830&gt;=30, "Adult", K830&lt;30, "Young Adult")</f>
        <v>Young Adult</v>
      </c>
      <c r="M830" s="4" t="s">
        <v>10</v>
      </c>
      <c r="N830" s="4">
        <v>4</v>
      </c>
      <c r="O830" s="5">
        <v>25</v>
      </c>
      <c r="P830">
        <f>N830*O830</f>
        <v>100</v>
      </c>
      <c r="Q830">
        <f>(P830*$U$4)</f>
        <v>1.5</v>
      </c>
    </row>
    <row r="831" spans="1:17">
      <c r="A831" s="2">
        <v>832</v>
      </c>
      <c r="B831" s="4">
        <f>YEAR(H831)</f>
        <v>2023</v>
      </c>
      <c r="C831" s="4">
        <f>MONTH(H831)</f>
        <v>9</v>
      </c>
      <c r="D831" s="4">
        <f>DAY(H831)</f>
        <v>11</v>
      </c>
      <c r="E831" s="4" t="str">
        <f>TEXT(H831,"dddd")</f>
        <v>Monday</v>
      </c>
      <c r="F831" s="4" t="str">
        <f t="shared" si="13"/>
        <v>September</v>
      </c>
      <c r="G831" s="4"/>
      <c r="H831" s="3">
        <v>45180</v>
      </c>
      <c r="I831" s="4" t="s">
        <v>865</v>
      </c>
      <c r="J831" s="4" t="s">
        <v>27</v>
      </c>
      <c r="K831" s="4">
        <v>25</v>
      </c>
      <c r="L831" s="4" t="str" cm="1">
        <f t="array" ref="L831">_xlfn.IFS(K831&gt;=50, "Senior", K831&gt;=30, "Adult", K831&lt;30, "Young Adult")</f>
        <v>Young Adult</v>
      </c>
      <c r="M831" s="4" t="s">
        <v>3</v>
      </c>
      <c r="N831" s="4">
        <v>4</v>
      </c>
      <c r="O831" s="5">
        <v>500</v>
      </c>
      <c r="P831">
        <f>N831*O831</f>
        <v>2000</v>
      </c>
      <c r="Q831">
        <f>(P831*$U$4)</f>
        <v>30</v>
      </c>
    </row>
    <row r="832" spans="1:17">
      <c r="A832" s="2">
        <v>833</v>
      </c>
      <c r="B832" s="4">
        <f>YEAR(H832)</f>
        <v>2023</v>
      </c>
      <c r="C832" s="4">
        <f>MONTH(H832)</f>
        <v>6</v>
      </c>
      <c r="D832" s="4">
        <f>DAY(H832)</f>
        <v>16</v>
      </c>
      <c r="E832" s="4" t="str">
        <f>TEXT(H832,"dddd")</f>
        <v>Friday</v>
      </c>
      <c r="F832" s="4" t="str">
        <f t="shared" si="13"/>
        <v>June</v>
      </c>
      <c r="G832" s="4"/>
      <c r="H832" s="3">
        <v>45093</v>
      </c>
      <c r="I832" s="4" t="s">
        <v>866</v>
      </c>
      <c r="J832" s="4" t="s">
        <v>27</v>
      </c>
      <c r="K832" s="4">
        <v>25</v>
      </c>
      <c r="L832" s="4" t="str" cm="1">
        <f t="array" ref="L832">_xlfn.IFS(K832&gt;=50, "Senior", K832&gt;=30, "Adult", K832&lt;30, "Young Adult")</f>
        <v>Young Adult</v>
      </c>
      <c r="M832" s="4" t="s">
        <v>3</v>
      </c>
      <c r="N832" s="4">
        <v>4</v>
      </c>
      <c r="O832" s="5">
        <v>50</v>
      </c>
      <c r="P832">
        <f>N832*O832</f>
        <v>200</v>
      </c>
      <c r="Q832">
        <f>(P832*$U$4)</f>
        <v>3</v>
      </c>
    </row>
    <row r="833" spans="1:17">
      <c r="A833" s="2">
        <v>834</v>
      </c>
      <c r="B833" s="4">
        <f>YEAR(H833)</f>
        <v>2023</v>
      </c>
      <c r="C833" s="4">
        <f>MONTH(H833)</f>
        <v>4</v>
      </c>
      <c r="D833" s="4">
        <f>DAY(H833)</f>
        <v>4</v>
      </c>
      <c r="E833" s="4" t="str">
        <f>TEXT(H833,"dddd")</f>
        <v>Tuesday</v>
      </c>
      <c r="F833" s="4" t="str">
        <f t="shared" si="13"/>
        <v>April</v>
      </c>
      <c r="G833" s="4"/>
      <c r="H833" s="3">
        <v>45020</v>
      </c>
      <c r="I833" s="4" t="s">
        <v>867</v>
      </c>
      <c r="J833" s="4" t="s">
        <v>29</v>
      </c>
      <c r="K833" s="4">
        <v>25</v>
      </c>
      <c r="L833" s="4" t="str" cm="1">
        <f t="array" ref="L833">_xlfn.IFS(K833&gt;=50, "Senior", K833&gt;=30, "Adult", K833&lt;30, "Young Adult")</f>
        <v>Young Adult</v>
      </c>
      <c r="M833" s="4" t="s">
        <v>3</v>
      </c>
      <c r="N833" s="4">
        <v>2</v>
      </c>
      <c r="O833" s="5">
        <v>30</v>
      </c>
      <c r="P833">
        <f>N833*O833</f>
        <v>60</v>
      </c>
      <c r="Q833">
        <f>(P833*$U$4)</f>
        <v>0.89999999999999991</v>
      </c>
    </row>
    <row r="834" spans="1:17">
      <c r="A834" s="2">
        <v>835</v>
      </c>
      <c r="B834" s="4">
        <f>YEAR(H834)</f>
        <v>2023</v>
      </c>
      <c r="C834" s="4">
        <f>MONTH(H834)</f>
        <v>9</v>
      </c>
      <c r="D834" s="4">
        <f>DAY(H834)</f>
        <v>7</v>
      </c>
      <c r="E834" s="4" t="str">
        <f>TEXT(H834,"dddd")</f>
        <v>Thursday</v>
      </c>
      <c r="F834" s="4" t="str">
        <f t="shared" si="13"/>
        <v>September</v>
      </c>
      <c r="G834" s="4"/>
      <c r="H834" s="3">
        <v>45176</v>
      </c>
      <c r="I834" s="4" t="s">
        <v>868</v>
      </c>
      <c r="J834" s="4" t="s">
        <v>27</v>
      </c>
      <c r="K834" s="4">
        <v>25</v>
      </c>
      <c r="L834" s="4" t="str" cm="1">
        <f t="array" ref="L834">_xlfn.IFS(K834&gt;=50, "Senior", K834&gt;=30, "Adult", K834&lt;30, "Young Adult")</f>
        <v>Young Adult</v>
      </c>
      <c r="M834" s="4" t="s">
        <v>8</v>
      </c>
      <c r="N834" s="4">
        <v>4</v>
      </c>
      <c r="O834" s="5">
        <v>50</v>
      </c>
      <c r="P834">
        <f>N834*O834</f>
        <v>200</v>
      </c>
      <c r="Q834">
        <f>(P834*$U$4)</f>
        <v>3</v>
      </c>
    </row>
    <row r="835" spans="1:17">
      <c r="A835" s="2">
        <v>836</v>
      </c>
      <c r="B835" s="4">
        <f>YEAR(H835)</f>
        <v>2023</v>
      </c>
      <c r="C835" s="4">
        <f>MONTH(H835)</f>
        <v>4</v>
      </c>
      <c r="D835" s="4">
        <f>DAY(H835)</f>
        <v>19</v>
      </c>
      <c r="E835" s="4" t="str">
        <f>TEXT(H835,"dddd")</f>
        <v>Wednesday</v>
      </c>
      <c r="F835" s="4" t="str">
        <f t="shared" ref="F835:F898" si="14">TEXT(H835,"mmmm")</f>
        <v>April</v>
      </c>
      <c r="G835" s="4"/>
      <c r="H835" s="3">
        <v>45035</v>
      </c>
      <c r="I835" s="4" t="s">
        <v>869</v>
      </c>
      <c r="J835" s="4" t="s">
        <v>29</v>
      </c>
      <c r="K835" s="4">
        <v>25</v>
      </c>
      <c r="L835" s="4" t="str" cm="1">
        <f t="array" ref="L835">_xlfn.IFS(K835&gt;=50, "Senior", K835&gt;=30, "Adult", K835&lt;30, "Young Adult")</f>
        <v>Young Adult</v>
      </c>
      <c r="M835" s="4" t="s">
        <v>8</v>
      </c>
      <c r="N835" s="4">
        <v>1</v>
      </c>
      <c r="O835" s="5">
        <v>50</v>
      </c>
      <c r="P835">
        <f>N835*O835</f>
        <v>50</v>
      </c>
      <c r="Q835">
        <f>(P835*$U$4)</f>
        <v>0.75</v>
      </c>
    </row>
    <row r="836" spans="1:17">
      <c r="A836" s="2">
        <v>837</v>
      </c>
      <c r="B836" s="4">
        <f>YEAR(H836)</f>
        <v>2023</v>
      </c>
      <c r="C836" s="4">
        <f>MONTH(H836)</f>
        <v>7</v>
      </c>
      <c r="D836" s="4">
        <f>DAY(H836)</f>
        <v>1</v>
      </c>
      <c r="E836" s="4" t="str">
        <f>TEXT(H836,"dddd")</f>
        <v>Saturday</v>
      </c>
      <c r="F836" s="4" t="str">
        <f t="shared" si="14"/>
        <v>July</v>
      </c>
      <c r="G836" s="4"/>
      <c r="H836" s="3">
        <v>45108</v>
      </c>
      <c r="I836" s="4" t="s">
        <v>870</v>
      </c>
      <c r="J836" s="4" t="s">
        <v>27</v>
      </c>
      <c r="K836" s="4">
        <v>25</v>
      </c>
      <c r="L836" s="4" t="str" cm="1">
        <f t="array" ref="L836">_xlfn.IFS(K836&gt;=50, "Senior", K836&gt;=30, "Adult", K836&lt;30, "Young Adult")</f>
        <v>Young Adult</v>
      </c>
      <c r="M836" s="4" t="s">
        <v>3</v>
      </c>
      <c r="N836" s="4">
        <v>3</v>
      </c>
      <c r="O836" s="5">
        <v>30</v>
      </c>
      <c r="P836">
        <f>N836*O836</f>
        <v>90</v>
      </c>
      <c r="Q836">
        <f>(P836*$U$4)</f>
        <v>1.3499999999999999</v>
      </c>
    </row>
    <row r="837" spans="1:17">
      <c r="A837" s="2">
        <v>838</v>
      </c>
      <c r="B837" s="4">
        <f>YEAR(H837)</f>
        <v>2023</v>
      </c>
      <c r="C837" s="4">
        <f>MONTH(H837)</f>
        <v>5</v>
      </c>
      <c r="D837" s="4">
        <f>DAY(H837)</f>
        <v>13</v>
      </c>
      <c r="E837" s="4" t="str">
        <f>TEXT(H837,"dddd")</f>
        <v>Saturday</v>
      </c>
      <c r="F837" s="4" t="str">
        <f t="shared" si="14"/>
        <v>May</v>
      </c>
      <c r="G837" s="4"/>
      <c r="H837" s="3">
        <v>45059</v>
      </c>
      <c r="I837" s="4" t="s">
        <v>871</v>
      </c>
      <c r="J837" s="4" t="s">
        <v>27</v>
      </c>
      <c r="K837" s="4">
        <v>25</v>
      </c>
      <c r="L837" s="4" t="str" cm="1">
        <f t="array" ref="L837">_xlfn.IFS(K837&gt;=50, "Senior", K837&gt;=30, "Adult", K837&lt;30, "Young Adult")</f>
        <v>Young Adult</v>
      </c>
      <c r="M837" s="4" t="s">
        <v>10</v>
      </c>
      <c r="N837" s="4">
        <v>2</v>
      </c>
      <c r="O837" s="5">
        <v>300</v>
      </c>
      <c r="P837">
        <f>N837*O837</f>
        <v>600</v>
      </c>
      <c r="Q837">
        <f>(P837*$U$4)</f>
        <v>9</v>
      </c>
    </row>
    <row r="838" spans="1:17">
      <c r="A838" s="2">
        <v>839</v>
      </c>
      <c r="B838" s="4">
        <f>YEAR(H838)</f>
        <v>2023</v>
      </c>
      <c r="C838" s="4">
        <f>MONTH(H838)</f>
        <v>6</v>
      </c>
      <c r="D838" s="4">
        <f>DAY(H838)</f>
        <v>24</v>
      </c>
      <c r="E838" s="4" t="str">
        <f>TEXT(H838,"dddd")</f>
        <v>Saturday</v>
      </c>
      <c r="F838" s="4" t="str">
        <f t="shared" si="14"/>
        <v>June</v>
      </c>
      <c r="G838" s="4"/>
      <c r="H838" s="3">
        <v>45101</v>
      </c>
      <c r="I838" s="4" t="s">
        <v>872</v>
      </c>
      <c r="J838" s="4" t="s">
        <v>29</v>
      </c>
      <c r="K838" s="4">
        <v>25</v>
      </c>
      <c r="L838" s="4" t="str" cm="1">
        <f t="array" ref="L838">_xlfn.IFS(K838&gt;=50, "Senior", K838&gt;=30, "Adult", K838&lt;30, "Young Adult")</f>
        <v>Young Adult</v>
      </c>
      <c r="M838" s="4" t="s">
        <v>10</v>
      </c>
      <c r="N838" s="4">
        <v>4</v>
      </c>
      <c r="O838" s="5">
        <v>300</v>
      </c>
      <c r="P838">
        <f>N838*O838</f>
        <v>1200</v>
      </c>
      <c r="Q838">
        <f>(P838*$U$4)</f>
        <v>18</v>
      </c>
    </row>
    <row r="839" spans="1:17">
      <c r="A839" s="2">
        <v>840</v>
      </c>
      <c r="B839" s="4">
        <f>YEAR(H839)</f>
        <v>2023</v>
      </c>
      <c r="C839" s="4">
        <f>MONTH(H839)</f>
        <v>5</v>
      </c>
      <c r="D839" s="4">
        <f>DAY(H839)</f>
        <v>24</v>
      </c>
      <c r="E839" s="4" t="str">
        <f>TEXT(H839,"dddd")</f>
        <v>Wednesday</v>
      </c>
      <c r="F839" s="4" t="str">
        <f t="shared" si="14"/>
        <v>May</v>
      </c>
      <c r="G839" s="4"/>
      <c r="H839" s="3">
        <v>45070</v>
      </c>
      <c r="I839" s="4" t="s">
        <v>873</v>
      </c>
      <c r="J839" s="4" t="s">
        <v>27</v>
      </c>
      <c r="K839" s="4">
        <v>25</v>
      </c>
      <c r="L839" s="4" t="str" cm="1">
        <f t="array" ref="L839">_xlfn.IFS(K839&gt;=50, "Senior", K839&gt;=30, "Adult", K839&lt;30, "Young Adult")</f>
        <v>Young Adult</v>
      </c>
      <c r="M839" s="4" t="s">
        <v>8</v>
      </c>
      <c r="N839" s="4">
        <v>2</v>
      </c>
      <c r="O839" s="5">
        <v>25</v>
      </c>
      <c r="P839">
        <f>N839*O839</f>
        <v>50</v>
      </c>
      <c r="Q839">
        <f>(P839*$U$4)</f>
        <v>0.75</v>
      </c>
    </row>
    <row r="840" spans="1:17">
      <c r="A840" s="2">
        <v>841</v>
      </c>
      <c r="B840" s="4">
        <f>YEAR(H840)</f>
        <v>2023</v>
      </c>
      <c r="C840" s="4">
        <f>MONTH(H840)</f>
        <v>11</v>
      </c>
      <c r="D840" s="4">
        <f>DAY(H840)</f>
        <v>2</v>
      </c>
      <c r="E840" s="4" t="str">
        <f>TEXT(H840,"dddd")</f>
        <v>Thursday</v>
      </c>
      <c r="F840" s="4" t="str">
        <f t="shared" si="14"/>
        <v>November</v>
      </c>
      <c r="G840" s="4"/>
      <c r="H840" s="3">
        <v>45232</v>
      </c>
      <c r="I840" s="4" t="s">
        <v>874</v>
      </c>
      <c r="J840" s="4" t="s">
        <v>27</v>
      </c>
      <c r="K840" s="4">
        <v>25</v>
      </c>
      <c r="L840" s="4" t="str" cm="1">
        <f t="array" ref="L840">_xlfn.IFS(K840&gt;=50, "Senior", K840&gt;=30, "Adult", K840&lt;30, "Young Adult")</f>
        <v>Young Adult</v>
      </c>
      <c r="M840" s="4" t="s">
        <v>10</v>
      </c>
      <c r="N840" s="4">
        <v>4</v>
      </c>
      <c r="O840" s="5">
        <v>25</v>
      </c>
      <c r="P840">
        <f>N840*O840</f>
        <v>100</v>
      </c>
      <c r="Q840">
        <f>(P840*$U$4)</f>
        <v>1.5</v>
      </c>
    </row>
    <row r="841" spans="1:17">
      <c r="A841" s="2">
        <v>842</v>
      </c>
      <c r="B841" s="4">
        <f>YEAR(H841)</f>
        <v>2023</v>
      </c>
      <c r="C841" s="4">
        <f>MONTH(H841)</f>
        <v>12</v>
      </c>
      <c r="D841" s="4">
        <f>DAY(H841)</f>
        <v>26</v>
      </c>
      <c r="E841" s="4" t="str">
        <f>TEXT(H841,"dddd")</f>
        <v>Tuesday</v>
      </c>
      <c r="F841" s="4" t="str">
        <f t="shared" si="14"/>
        <v>December</v>
      </c>
      <c r="G841" s="4"/>
      <c r="H841" s="3">
        <v>45286</v>
      </c>
      <c r="I841" s="4" t="s">
        <v>875</v>
      </c>
      <c r="J841" s="4" t="s">
        <v>29</v>
      </c>
      <c r="K841" s="4">
        <v>25</v>
      </c>
      <c r="L841" s="4" t="str" cm="1">
        <f t="array" ref="L841">_xlfn.IFS(K841&gt;=50, "Senior", K841&gt;=30, "Adult", K841&lt;30, "Young Adult")</f>
        <v>Young Adult</v>
      </c>
      <c r="M841" s="4" t="s">
        <v>8</v>
      </c>
      <c r="N841" s="4">
        <v>2</v>
      </c>
      <c r="O841" s="5">
        <v>300</v>
      </c>
      <c r="P841">
        <f>N841*O841</f>
        <v>600</v>
      </c>
      <c r="Q841">
        <f>(P841*$U$4)</f>
        <v>9</v>
      </c>
    </row>
    <row r="842" spans="1:17">
      <c r="A842" s="2">
        <v>843</v>
      </c>
      <c r="B842" s="4">
        <f>YEAR(H842)</f>
        <v>2023</v>
      </c>
      <c r="C842" s="4">
        <f>MONTH(H842)</f>
        <v>5</v>
      </c>
      <c r="D842" s="4">
        <f>DAY(H842)</f>
        <v>22</v>
      </c>
      <c r="E842" s="4" t="str">
        <f>TEXT(H842,"dddd")</f>
        <v>Monday</v>
      </c>
      <c r="F842" s="4" t="str">
        <f t="shared" si="14"/>
        <v>May</v>
      </c>
      <c r="G842" s="4"/>
      <c r="H842" s="3">
        <v>45068</v>
      </c>
      <c r="I842" s="4" t="s">
        <v>876</v>
      </c>
      <c r="J842" s="4" t="s">
        <v>27</v>
      </c>
      <c r="K842" s="4">
        <v>25</v>
      </c>
      <c r="L842" s="4" t="str" cm="1">
        <f t="array" ref="L842">_xlfn.IFS(K842&gt;=50, "Senior", K842&gt;=30, "Adult", K842&lt;30, "Young Adult")</f>
        <v>Young Adult</v>
      </c>
      <c r="M842" s="4" t="s">
        <v>3</v>
      </c>
      <c r="N842" s="4">
        <v>3</v>
      </c>
      <c r="O842" s="5">
        <v>500</v>
      </c>
      <c r="P842">
        <f>N842*O842</f>
        <v>1500</v>
      </c>
      <c r="Q842">
        <f>(P842*$U$4)</f>
        <v>22.5</v>
      </c>
    </row>
    <row r="843" spans="1:17">
      <c r="A843" s="2">
        <v>844</v>
      </c>
      <c r="B843" s="4">
        <f>YEAR(H843)</f>
        <v>2023</v>
      </c>
      <c r="C843" s="4">
        <f>MONTH(H843)</f>
        <v>10</v>
      </c>
      <c r="D843" s="4">
        <f>DAY(H843)</f>
        <v>12</v>
      </c>
      <c r="E843" s="4" t="str">
        <f>TEXT(H843,"dddd")</f>
        <v>Thursday</v>
      </c>
      <c r="F843" s="4" t="str">
        <f t="shared" si="14"/>
        <v>October</v>
      </c>
      <c r="G843" s="4"/>
      <c r="H843" s="3">
        <v>45211</v>
      </c>
      <c r="I843" s="4" t="s">
        <v>877</v>
      </c>
      <c r="J843" s="4" t="s">
        <v>27</v>
      </c>
      <c r="K843" s="4">
        <v>25</v>
      </c>
      <c r="L843" s="4" t="str" cm="1">
        <f t="array" ref="L843">_xlfn.IFS(K843&gt;=50, "Senior", K843&gt;=30, "Adult", K843&lt;30, "Young Adult")</f>
        <v>Young Adult</v>
      </c>
      <c r="M843" s="4" t="s">
        <v>8</v>
      </c>
      <c r="N843" s="4">
        <v>3</v>
      </c>
      <c r="O843" s="5">
        <v>50</v>
      </c>
      <c r="P843">
        <f>N843*O843</f>
        <v>150</v>
      </c>
      <c r="Q843">
        <f>(P843*$U$4)</f>
        <v>2.25</v>
      </c>
    </row>
    <row r="844" spans="1:17">
      <c r="A844" s="2">
        <v>845</v>
      </c>
      <c r="B844" s="4">
        <f>YEAR(H844)</f>
        <v>2023</v>
      </c>
      <c r="C844" s="4">
        <f>MONTH(H844)</f>
        <v>1</v>
      </c>
      <c r="D844" s="4">
        <f>DAY(H844)</f>
        <v>6</v>
      </c>
      <c r="E844" s="4" t="str">
        <f>TEXT(H844,"dddd")</f>
        <v>Friday</v>
      </c>
      <c r="F844" s="4" t="str">
        <f t="shared" si="14"/>
        <v>January</v>
      </c>
      <c r="G844" s="4"/>
      <c r="H844" s="3">
        <v>44932</v>
      </c>
      <c r="I844" s="4" t="s">
        <v>878</v>
      </c>
      <c r="J844" s="4" t="s">
        <v>27</v>
      </c>
      <c r="K844" s="4">
        <v>25</v>
      </c>
      <c r="L844" s="4" t="str" cm="1">
        <f t="array" ref="L844">_xlfn.IFS(K844&gt;=50, "Senior", K844&gt;=30, "Adult", K844&lt;30, "Young Adult")</f>
        <v>Young Adult</v>
      </c>
      <c r="M844" s="4" t="s">
        <v>8</v>
      </c>
      <c r="N844" s="4">
        <v>1</v>
      </c>
      <c r="O844" s="5">
        <v>500</v>
      </c>
      <c r="P844">
        <f>N844*O844</f>
        <v>500</v>
      </c>
      <c r="Q844">
        <f>(P844*$U$4)</f>
        <v>7.5</v>
      </c>
    </row>
    <row r="845" spans="1:17">
      <c r="A845" s="2">
        <v>846</v>
      </c>
      <c r="B845" s="4">
        <f>YEAR(H845)</f>
        <v>2023</v>
      </c>
      <c r="C845" s="4">
        <f>MONTH(H845)</f>
        <v>9</v>
      </c>
      <c r="D845" s="4">
        <f>DAY(H845)</f>
        <v>22</v>
      </c>
      <c r="E845" s="4" t="str">
        <f>TEXT(H845,"dddd")</f>
        <v>Friday</v>
      </c>
      <c r="F845" s="4" t="str">
        <f t="shared" si="14"/>
        <v>September</v>
      </c>
      <c r="G845" s="4"/>
      <c r="H845" s="3">
        <v>45191</v>
      </c>
      <c r="I845" s="4" t="s">
        <v>879</v>
      </c>
      <c r="J845" s="4" t="s">
        <v>27</v>
      </c>
      <c r="K845" s="4">
        <v>25</v>
      </c>
      <c r="L845" s="4" t="str" cm="1">
        <f t="array" ref="L845">_xlfn.IFS(K845&gt;=50, "Senior", K845&gt;=30, "Adult", K845&lt;30, "Young Adult")</f>
        <v>Young Adult</v>
      </c>
      <c r="M845" s="4" t="s">
        <v>3</v>
      </c>
      <c r="N845" s="4">
        <v>1</v>
      </c>
      <c r="O845" s="5">
        <v>50</v>
      </c>
      <c r="P845">
        <f>N845*O845</f>
        <v>50</v>
      </c>
      <c r="Q845">
        <f>(P845*$U$4)</f>
        <v>0.75</v>
      </c>
    </row>
    <row r="846" spans="1:17">
      <c r="A846" s="2">
        <v>847</v>
      </c>
      <c r="B846" s="4">
        <f>YEAR(H846)</f>
        <v>2023</v>
      </c>
      <c r="C846" s="4">
        <f>MONTH(H846)</f>
        <v>4</v>
      </c>
      <c r="D846" s="4">
        <f>DAY(H846)</f>
        <v>8</v>
      </c>
      <c r="E846" s="4" t="str">
        <f>TEXT(H846,"dddd")</f>
        <v>Saturday</v>
      </c>
      <c r="F846" s="4" t="str">
        <f t="shared" si="14"/>
        <v>April</v>
      </c>
      <c r="G846" s="4"/>
      <c r="H846" s="3">
        <v>45024</v>
      </c>
      <c r="I846" s="4" t="s">
        <v>880</v>
      </c>
      <c r="J846" s="4" t="s">
        <v>29</v>
      </c>
      <c r="K846" s="4">
        <v>25</v>
      </c>
      <c r="L846" s="4" t="str" cm="1">
        <f t="array" ref="L846">_xlfn.IFS(K846&gt;=50, "Senior", K846&gt;=30, "Adult", K846&lt;30, "Young Adult")</f>
        <v>Young Adult</v>
      </c>
      <c r="M846" s="4" t="s">
        <v>10</v>
      </c>
      <c r="N846" s="4">
        <v>4</v>
      </c>
      <c r="O846" s="5">
        <v>300</v>
      </c>
      <c r="P846">
        <f>N846*O846</f>
        <v>1200</v>
      </c>
      <c r="Q846">
        <f>(P846*$U$4)</f>
        <v>18</v>
      </c>
    </row>
    <row r="847" spans="1:17">
      <c r="A847" s="2">
        <v>848</v>
      </c>
      <c r="B847" s="4">
        <f>YEAR(H847)</f>
        <v>2023</v>
      </c>
      <c r="C847" s="4">
        <f>MONTH(H847)</f>
        <v>2</v>
      </c>
      <c r="D847" s="4">
        <f>DAY(H847)</f>
        <v>13</v>
      </c>
      <c r="E847" s="4" t="str">
        <f>TEXT(H847,"dddd")</f>
        <v>Monday</v>
      </c>
      <c r="F847" s="4" t="str">
        <f t="shared" si="14"/>
        <v>February</v>
      </c>
      <c r="G847" s="4"/>
      <c r="H847" s="3">
        <v>44970</v>
      </c>
      <c r="I847" s="4" t="s">
        <v>881</v>
      </c>
      <c r="J847" s="4" t="s">
        <v>29</v>
      </c>
      <c r="K847" s="4">
        <v>25</v>
      </c>
      <c r="L847" s="4" t="str" cm="1">
        <f t="array" ref="L847">_xlfn.IFS(K847&gt;=50, "Senior", K847&gt;=30, "Adult", K847&lt;30, "Young Adult")</f>
        <v>Young Adult</v>
      </c>
      <c r="M847" s="4" t="s">
        <v>8</v>
      </c>
      <c r="N847" s="4">
        <v>3</v>
      </c>
      <c r="O847" s="5">
        <v>25</v>
      </c>
      <c r="P847">
        <f>N847*O847</f>
        <v>75</v>
      </c>
      <c r="Q847">
        <f>(P847*$U$4)</f>
        <v>1.125</v>
      </c>
    </row>
    <row r="848" spans="1:17">
      <c r="A848" s="2">
        <v>849</v>
      </c>
      <c r="B848" s="4">
        <f>YEAR(H848)</f>
        <v>2023</v>
      </c>
      <c r="C848" s="4">
        <f>MONTH(H848)</f>
        <v>5</v>
      </c>
      <c r="D848" s="4">
        <f>DAY(H848)</f>
        <v>4</v>
      </c>
      <c r="E848" s="4" t="str">
        <f>TEXT(H848,"dddd")</f>
        <v>Thursday</v>
      </c>
      <c r="F848" s="4" t="str">
        <f t="shared" si="14"/>
        <v>May</v>
      </c>
      <c r="G848" s="4"/>
      <c r="H848" s="3">
        <v>45050</v>
      </c>
      <c r="I848" s="4" t="s">
        <v>882</v>
      </c>
      <c r="J848" s="4" t="s">
        <v>27</v>
      </c>
      <c r="K848" s="4">
        <v>25</v>
      </c>
      <c r="L848" s="4" t="str" cm="1">
        <f t="array" ref="L848">_xlfn.IFS(K848&gt;=50, "Senior", K848&gt;=30, "Adult", K848&lt;30, "Young Adult")</f>
        <v>Young Adult</v>
      </c>
      <c r="M848" s="4" t="s">
        <v>8</v>
      </c>
      <c r="N848" s="4">
        <v>2</v>
      </c>
      <c r="O848" s="5">
        <v>25</v>
      </c>
      <c r="P848">
        <f>N848*O848</f>
        <v>50</v>
      </c>
      <c r="Q848">
        <f>(P848*$U$4)</f>
        <v>0.75</v>
      </c>
    </row>
    <row r="849" spans="1:17">
      <c r="A849" s="2">
        <v>850</v>
      </c>
      <c r="B849" s="4">
        <f>YEAR(H849)</f>
        <v>2023</v>
      </c>
      <c r="C849" s="4">
        <f>MONTH(H849)</f>
        <v>7</v>
      </c>
      <c r="D849" s="4">
        <f>DAY(H849)</f>
        <v>28</v>
      </c>
      <c r="E849" s="4" t="str">
        <f>TEXT(H849,"dddd")</f>
        <v>Friday</v>
      </c>
      <c r="F849" s="4" t="str">
        <f t="shared" si="14"/>
        <v>July</v>
      </c>
      <c r="G849" s="4"/>
      <c r="H849" s="3">
        <v>45135</v>
      </c>
      <c r="I849" s="4" t="s">
        <v>883</v>
      </c>
      <c r="J849" s="4" t="s">
        <v>29</v>
      </c>
      <c r="K849" s="4">
        <v>25</v>
      </c>
      <c r="L849" s="4" t="str" cm="1">
        <f t="array" ref="L849">_xlfn.IFS(K849&gt;=50, "Senior", K849&gt;=30, "Adult", K849&lt;30, "Young Adult")</f>
        <v>Young Adult</v>
      </c>
      <c r="M849" s="4" t="s">
        <v>3</v>
      </c>
      <c r="N849" s="4">
        <v>2</v>
      </c>
      <c r="O849" s="5">
        <v>500</v>
      </c>
      <c r="P849">
        <f>N849*O849</f>
        <v>1000</v>
      </c>
      <c r="Q849">
        <f>(P849*$U$4)</f>
        <v>15</v>
      </c>
    </row>
    <row r="850" spans="1:17">
      <c r="A850" s="2">
        <v>851</v>
      </c>
      <c r="B850" s="4">
        <f>YEAR(H850)</f>
        <v>2023</v>
      </c>
      <c r="C850" s="4">
        <f>MONTH(H850)</f>
        <v>9</v>
      </c>
      <c r="D850" s="4">
        <f>DAY(H850)</f>
        <v>8</v>
      </c>
      <c r="E850" s="4" t="str">
        <f>TEXT(H850,"dddd")</f>
        <v>Friday</v>
      </c>
      <c r="F850" s="4" t="str">
        <f t="shared" si="14"/>
        <v>September</v>
      </c>
      <c r="G850" s="4"/>
      <c r="H850" s="3">
        <v>45177</v>
      </c>
      <c r="I850" s="4" t="s">
        <v>884</v>
      </c>
      <c r="J850" s="4" t="s">
        <v>27</v>
      </c>
      <c r="K850" s="4">
        <v>25</v>
      </c>
      <c r="L850" s="4" t="str" cm="1">
        <f t="array" ref="L850">_xlfn.IFS(K850&gt;=50, "Senior", K850&gt;=30, "Adult", K850&lt;30, "Young Adult")</f>
        <v>Young Adult</v>
      </c>
      <c r="M850" s="4" t="s">
        <v>10</v>
      </c>
      <c r="N850" s="4">
        <v>2</v>
      </c>
      <c r="O850" s="5">
        <v>25</v>
      </c>
      <c r="P850">
        <f>N850*O850</f>
        <v>50</v>
      </c>
      <c r="Q850">
        <f>(P850*$U$4)</f>
        <v>0.75</v>
      </c>
    </row>
    <row r="851" spans="1:17">
      <c r="A851" s="2">
        <v>852</v>
      </c>
      <c r="B851" s="4">
        <f>YEAR(H851)</f>
        <v>2023</v>
      </c>
      <c r="C851" s="4">
        <f>MONTH(H851)</f>
        <v>10</v>
      </c>
      <c r="D851" s="4">
        <f>DAY(H851)</f>
        <v>12</v>
      </c>
      <c r="E851" s="4" t="str">
        <f>TEXT(H851,"dddd")</f>
        <v>Thursday</v>
      </c>
      <c r="F851" s="4" t="str">
        <f t="shared" si="14"/>
        <v>October</v>
      </c>
      <c r="G851" s="4"/>
      <c r="H851" s="3">
        <v>45211</v>
      </c>
      <c r="I851" s="4" t="s">
        <v>885</v>
      </c>
      <c r="J851" s="4" t="s">
        <v>29</v>
      </c>
      <c r="K851" s="4">
        <v>24</v>
      </c>
      <c r="L851" s="4" t="str" cm="1">
        <f t="array" ref="L851">_xlfn.IFS(K851&gt;=50, "Senior", K851&gt;=30, "Adult", K851&lt;30, "Young Adult")</f>
        <v>Young Adult</v>
      </c>
      <c r="M851" s="4" t="s">
        <v>8</v>
      </c>
      <c r="N851" s="4">
        <v>1</v>
      </c>
      <c r="O851" s="5">
        <v>300</v>
      </c>
      <c r="P851">
        <f>N851*O851</f>
        <v>300</v>
      </c>
      <c r="Q851">
        <f>(P851*$U$4)</f>
        <v>4.5</v>
      </c>
    </row>
    <row r="852" spans="1:17">
      <c r="A852" s="2">
        <v>853</v>
      </c>
      <c r="B852" s="4">
        <f>YEAR(H852)</f>
        <v>2023</v>
      </c>
      <c r="C852" s="4">
        <f>MONTH(H852)</f>
        <v>5</v>
      </c>
      <c r="D852" s="4">
        <f>DAY(H852)</f>
        <v>4</v>
      </c>
      <c r="E852" s="4" t="str">
        <f>TEXT(H852,"dddd")</f>
        <v>Thursday</v>
      </c>
      <c r="F852" s="4" t="str">
        <f t="shared" si="14"/>
        <v>May</v>
      </c>
      <c r="G852" s="4"/>
      <c r="H852" s="3">
        <v>45050</v>
      </c>
      <c r="I852" s="4" t="s">
        <v>886</v>
      </c>
      <c r="J852" s="4" t="s">
        <v>27</v>
      </c>
      <c r="K852" s="4">
        <v>24</v>
      </c>
      <c r="L852" s="4" t="str" cm="1">
        <f t="array" ref="L852">_xlfn.IFS(K852&gt;=50, "Senior", K852&gt;=30, "Adult", K852&lt;30, "Young Adult")</f>
        <v>Young Adult</v>
      </c>
      <c r="M852" s="4" t="s">
        <v>3</v>
      </c>
      <c r="N852" s="4">
        <v>2</v>
      </c>
      <c r="O852" s="5">
        <v>500</v>
      </c>
      <c r="P852">
        <f>N852*O852</f>
        <v>1000</v>
      </c>
      <c r="Q852">
        <f>(P852*$U$4)</f>
        <v>15</v>
      </c>
    </row>
    <row r="853" spans="1:17">
      <c r="A853" s="2">
        <v>854</v>
      </c>
      <c r="B853" s="4">
        <f>YEAR(H853)</f>
        <v>2023</v>
      </c>
      <c r="C853" s="4">
        <f>MONTH(H853)</f>
        <v>12</v>
      </c>
      <c r="D853" s="4">
        <f>DAY(H853)</f>
        <v>20</v>
      </c>
      <c r="E853" s="4" t="str">
        <f>TEXT(H853,"dddd")</f>
        <v>Wednesday</v>
      </c>
      <c r="F853" s="4" t="str">
        <f t="shared" si="14"/>
        <v>December</v>
      </c>
      <c r="G853" s="4"/>
      <c r="H853" s="3">
        <v>45280</v>
      </c>
      <c r="I853" s="4" t="s">
        <v>887</v>
      </c>
      <c r="J853" s="4" t="s">
        <v>27</v>
      </c>
      <c r="K853" s="4">
        <v>24</v>
      </c>
      <c r="L853" s="4" t="str" cm="1">
        <f t="array" ref="L853">_xlfn.IFS(K853&gt;=50, "Senior", K853&gt;=30, "Adult", K853&lt;30, "Young Adult")</f>
        <v>Young Adult</v>
      </c>
      <c r="M853" s="4" t="s">
        <v>8</v>
      </c>
      <c r="N853" s="4">
        <v>1</v>
      </c>
      <c r="O853" s="5">
        <v>50</v>
      </c>
      <c r="P853">
        <f>N853*O853</f>
        <v>50</v>
      </c>
      <c r="Q853">
        <f>(P853*$U$4)</f>
        <v>0.75</v>
      </c>
    </row>
    <row r="854" spans="1:17">
      <c r="A854" s="2">
        <v>855</v>
      </c>
      <c r="B854" s="4">
        <f>YEAR(H854)</f>
        <v>2023</v>
      </c>
      <c r="C854" s="4">
        <f>MONTH(H854)</f>
        <v>9</v>
      </c>
      <c r="D854" s="4">
        <f>DAY(H854)</f>
        <v>1</v>
      </c>
      <c r="E854" s="4" t="str">
        <f>TEXT(H854,"dddd")</f>
        <v>Friday</v>
      </c>
      <c r="F854" s="4" t="str">
        <f t="shared" si="14"/>
        <v>September</v>
      </c>
      <c r="G854" s="4"/>
      <c r="H854" s="3">
        <v>45170</v>
      </c>
      <c r="I854" s="4" t="s">
        <v>888</v>
      </c>
      <c r="J854" s="4" t="s">
        <v>27</v>
      </c>
      <c r="K854" s="4">
        <v>24</v>
      </c>
      <c r="L854" s="4" t="str" cm="1">
        <f t="array" ref="L854">_xlfn.IFS(K854&gt;=50, "Senior", K854&gt;=30, "Adult", K854&lt;30, "Young Adult")</f>
        <v>Young Adult</v>
      </c>
      <c r="M854" s="4" t="s">
        <v>3</v>
      </c>
      <c r="N854" s="4">
        <v>1</v>
      </c>
      <c r="O854" s="5">
        <v>25</v>
      </c>
      <c r="P854">
        <f>N854*O854</f>
        <v>25</v>
      </c>
      <c r="Q854">
        <f>(P854*$U$4)</f>
        <v>0.375</v>
      </c>
    </row>
    <row r="855" spans="1:17">
      <c r="A855" s="2">
        <v>856</v>
      </c>
      <c r="B855" s="4">
        <f>YEAR(H855)</f>
        <v>2023</v>
      </c>
      <c r="C855" s="4">
        <f>MONTH(H855)</f>
        <v>11</v>
      </c>
      <c r="D855" s="4">
        <f>DAY(H855)</f>
        <v>27</v>
      </c>
      <c r="E855" s="4" t="str">
        <f>TEXT(H855,"dddd")</f>
        <v>Monday</v>
      </c>
      <c r="F855" s="4" t="str">
        <f t="shared" si="14"/>
        <v>November</v>
      </c>
      <c r="G855" s="4"/>
      <c r="H855" s="3">
        <v>45257</v>
      </c>
      <c r="I855" s="4" t="s">
        <v>889</v>
      </c>
      <c r="J855" s="4" t="s">
        <v>27</v>
      </c>
      <c r="K855" s="4">
        <v>24</v>
      </c>
      <c r="L855" s="4" t="str" cm="1">
        <f t="array" ref="L855">_xlfn.IFS(K855&gt;=50, "Senior", K855&gt;=30, "Adult", K855&lt;30, "Young Adult")</f>
        <v>Young Adult</v>
      </c>
      <c r="M855" s="4" t="s">
        <v>10</v>
      </c>
      <c r="N855" s="4">
        <v>4</v>
      </c>
      <c r="O855" s="5">
        <v>30</v>
      </c>
      <c r="P855">
        <f>N855*O855</f>
        <v>120</v>
      </c>
      <c r="Q855">
        <f>(P855*$U$4)</f>
        <v>1.7999999999999998</v>
      </c>
    </row>
    <row r="856" spans="1:17">
      <c r="A856" s="2">
        <v>857</v>
      </c>
      <c r="B856" s="4">
        <f>YEAR(H856)</f>
        <v>2023</v>
      </c>
      <c r="C856" s="4">
        <f>MONTH(H856)</f>
        <v>12</v>
      </c>
      <c r="D856" s="4">
        <f>DAY(H856)</f>
        <v>31</v>
      </c>
      <c r="E856" s="4" t="str">
        <f>TEXT(H856,"dddd")</f>
        <v>Sunday</v>
      </c>
      <c r="F856" s="4" t="str">
        <f t="shared" si="14"/>
        <v>December</v>
      </c>
      <c r="G856" s="4"/>
      <c r="H856" s="3">
        <v>45291</v>
      </c>
      <c r="I856" s="4" t="s">
        <v>890</v>
      </c>
      <c r="J856" s="4" t="s">
        <v>27</v>
      </c>
      <c r="K856" s="4">
        <v>24</v>
      </c>
      <c r="L856" s="4" t="str" cm="1">
        <f t="array" ref="L856">_xlfn.IFS(K856&gt;=50, "Senior", K856&gt;=30, "Adult", K856&lt;30, "Young Adult")</f>
        <v>Young Adult</v>
      </c>
      <c r="M856" s="4" t="s">
        <v>10</v>
      </c>
      <c r="N856" s="4">
        <v>2</v>
      </c>
      <c r="O856" s="5">
        <v>25</v>
      </c>
      <c r="P856">
        <f>N856*O856</f>
        <v>50</v>
      </c>
      <c r="Q856">
        <f>(P856*$U$4)</f>
        <v>0.75</v>
      </c>
    </row>
    <row r="857" spans="1:17">
      <c r="A857" s="2">
        <v>858</v>
      </c>
      <c r="B857" s="4">
        <f>YEAR(H857)</f>
        <v>2023</v>
      </c>
      <c r="C857" s="4">
        <f>MONTH(H857)</f>
        <v>9</v>
      </c>
      <c r="D857" s="4">
        <f>DAY(H857)</f>
        <v>9</v>
      </c>
      <c r="E857" s="4" t="str">
        <f>TEXT(H857,"dddd")</f>
        <v>Saturday</v>
      </c>
      <c r="F857" s="4" t="str">
        <f t="shared" si="14"/>
        <v>September</v>
      </c>
      <c r="G857" s="4"/>
      <c r="H857" s="3">
        <v>45178</v>
      </c>
      <c r="I857" s="4" t="s">
        <v>891</v>
      </c>
      <c r="J857" s="4" t="s">
        <v>27</v>
      </c>
      <c r="K857" s="4">
        <v>24</v>
      </c>
      <c r="L857" s="4" t="str" cm="1">
        <f t="array" ref="L857">_xlfn.IFS(K857&gt;=50, "Senior", K857&gt;=30, "Adult", K857&lt;30, "Young Adult")</f>
        <v>Young Adult</v>
      </c>
      <c r="M857" s="4" t="s">
        <v>10</v>
      </c>
      <c r="N857" s="4">
        <v>2</v>
      </c>
      <c r="O857" s="5">
        <v>50</v>
      </c>
      <c r="P857">
        <f>N857*O857</f>
        <v>100</v>
      </c>
      <c r="Q857">
        <f>(P857*$U$4)</f>
        <v>1.5</v>
      </c>
    </row>
    <row r="858" spans="1:17">
      <c r="A858" s="2">
        <v>859</v>
      </c>
      <c r="B858" s="4">
        <f>YEAR(H858)</f>
        <v>2023</v>
      </c>
      <c r="C858" s="4">
        <f>MONTH(H858)</f>
        <v>8</v>
      </c>
      <c r="D858" s="4">
        <f>DAY(H858)</f>
        <v>18</v>
      </c>
      <c r="E858" s="4" t="str">
        <f>TEXT(H858,"dddd")</f>
        <v>Friday</v>
      </c>
      <c r="F858" s="4" t="str">
        <f t="shared" si="14"/>
        <v>August</v>
      </c>
      <c r="G858" s="4"/>
      <c r="H858" s="3">
        <v>45156</v>
      </c>
      <c r="I858" s="4" t="s">
        <v>892</v>
      </c>
      <c r="J858" s="4" t="s">
        <v>29</v>
      </c>
      <c r="K858" s="4">
        <v>24</v>
      </c>
      <c r="L858" s="4" t="str" cm="1">
        <f t="array" ref="L858">_xlfn.IFS(K858&gt;=50, "Senior", K858&gt;=30, "Adult", K858&lt;30, "Young Adult")</f>
        <v>Young Adult</v>
      </c>
      <c r="M858" s="4" t="s">
        <v>10</v>
      </c>
      <c r="N858" s="4">
        <v>3</v>
      </c>
      <c r="O858" s="5">
        <v>500</v>
      </c>
      <c r="P858">
        <f>N858*O858</f>
        <v>1500</v>
      </c>
      <c r="Q858">
        <f>(P858*$U$4)</f>
        <v>22.5</v>
      </c>
    </row>
    <row r="859" spans="1:17">
      <c r="A859" s="2">
        <v>860</v>
      </c>
      <c r="B859" s="4">
        <f>YEAR(H859)</f>
        <v>2023</v>
      </c>
      <c r="C859" s="4">
        <f>MONTH(H859)</f>
        <v>1</v>
      </c>
      <c r="D859" s="4">
        <f>DAY(H859)</f>
        <v>9</v>
      </c>
      <c r="E859" s="4" t="str">
        <f>TEXT(H859,"dddd")</f>
        <v>Monday</v>
      </c>
      <c r="F859" s="4" t="str">
        <f t="shared" si="14"/>
        <v>January</v>
      </c>
      <c r="G859" s="4"/>
      <c r="H859" s="3">
        <v>44935</v>
      </c>
      <c r="I859" s="4" t="s">
        <v>893</v>
      </c>
      <c r="J859" s="4" t="s">
        <v>27</v>
      </c>
      <c r="K859" s="4">
        <v>24</v>
      </c>
      <c r="L859" s="4" t="str" cm="1">
        <f t="array" ref="L859">_xlfn.IFS(K859&gt;=50, "Senior", K859&gt;=30, "Adult", K859&lt;30, "Young Adult")</f>
        <v>Young Adult</v>
      </c>
      <c r="M859" s="4" t="s">
        <v>8</v>
      </c>
      <c r="N859" s="4">
        <v>4</v>
      </c>
      <c r="O859" s="5">
        <v>50</v>
      </c>
      <c r="P859">
        <f>N859*O859</f>
        <v>200</v>
      </c>
      <c r="Q859">
        <f>(P859*$U$4)</f>
        <v>3</v>
      </c>
    </row>
    <row r="860" spans="1:17">
      <c r="A860" s="2">
        <v>861</v>
      </c>
      <c r="B860" s="4">
        <f>YEAR(H860)</f>
        <v>2023</v>
      </c>
      <c r="C860" s="4">
        <f>MONTH(H860)</f>
        <v>2</v>
      </c>
      <c r="D860" s="4">
        <f>DAY(H860)</f>
        <v>17</v>
      </c>
      <c r="E860" s="4" t="str">
        <f>TEXT(H860,"dddd")</f>
        <v>Friday</v>
      </c>
      <c r="F860" s="4" t="str">
        <f t="shared" si="14"/>
        <v>February</v>
      </c>
      <c r="G860" s="4"/>
      <c r="H860" s="3">
        <v>44974</v>
      </c>
      <c r="I860" s="4" t="s">
        <v>894</v>
      </c>
      <c r="J860" s="4" t="s">
        <v>29</v>
      </c>
      <c r="K860" s="4">
        <v>24</v>
      </c>
      <c r="L860" s="4" t="str" cm="1">
        <f t="array" ref="L860">_xlfn.IFS(K860&gt;=50, "Senior", K860&gt;=30, "Adult", K860&lt;30, "Young Adult")</f>
        <v>Young Adult</v>
      </c>
      <c r="M860" s="4" t="s">
        <v>8</v>
      </c>
      <c r="N860" s="4">
        <v>3</v>
      </c>
      <c r="O860" s="5">
        <v>30</v>
      </c>
      <c r="P860">
        <f>N860*O860</f>
        <v>90</v>
      </c>
      <c r="Q860">
        <f>(P860*$U$4)</f>
        <v>1.3499999999999999</v>
      </c>
    </row>
    <row r="861" spans="1:17">
      <c r="A861" s="2">
        <v>862</v>
      </c>
      <c r="B861" s="4">
        <f>YEAR(H861)</f>
        <v>2023</v>
      </c>
      <c r="C861" s="4">
        <f>MONTH(H861)</f>
        <v>5</v>
      </c>
      <c r="D861" s="4">
        <f>DAY(H861)</f>
        <v>31</v>
      </c>
      <c r="E861" s="4" t="str">
        <f>TEXT(H861,"dddd")</f>
        <v>Wednesday</v>
      </c>
      <c r="F861" s="4" t="str">
        <f t="shared" si="14"/>
        <v>May</v>
      </c>
      <c r="G861" s="4"/>
      <c r="H861" s="3">
        <v>45077</v>
      </c>
      <c r="I861" s="4" t="s">
        <v>895</v>
      </c>
      <c r="J861" s="4" t="s">
        <v>27</v>
      </c>
      <c r="K861" s="4">
        <v>24</v>
      </c>
      <c r="L861" s="4" t="str" cm="1">
        <f t="array" ref="L861">_xlfn.IFS(K861&gt;=50, "Senior", K861&gt;=30, "Adult", K861&lt;30, "Young Adult")</f>
        <v>Young Adult</v>
      </c>
      <c r="M861" s="4" t="s">
        <v>10</v>
      </c>
      <c r="N861" s="4">
        <v>4</v>
      </c>
      <c r="O861" s="5">
        <v>300</v>
      </c>
      <c r="P861">
        <f>N861*O861</f>
        <v>1200</v>
      </c>
      <c r="Q861">
        <f>(P861*$U$4)</f>
        <v>18</v>
      </c>
    </row>
    <row r="862" spans="1:17">
      <c r="A862" s="2">
        <v>863</v>
      </c>
      <c r="B862" s="4">
        <f>YEAR(H862)</f>
        <v>2023</v>
      </c>
      <c r="C862" s="4">
        <f>MONTH(H862)</f>
        <v>4</v>
      </c>
      <c r="D862" s="4">
        <f>DAY(H862)</f>
        <v>24</v>
      </c>
      <c r="E862" s="4" t="str">
        <f>TEXT(H862,"dddd")</f>
        <v>Monday</v>
      </c>
      <c r="F862" s="4" t="str">
        <f t="shared" si="14"/>
        <v>April</v>
      </c>
      <c r="G862" s="4"/>
      <c r="H862" s="3">
        <v>45040</v>
      </c>
      <c r="I862" s="4" t="s">
        <v>896</v>
      </c>
      <c r="J862" s="4" t="s">
        <v>29</v>
      </c>
      <c r="K862" s="4">
        <v>24</v>
      </c>
      <c r="L862" s="4" t="str" cm="1">
        <f t="array" ref="L862">_xlfn.IFS(K862&gt;=50, "Senior", K862&gt;=30, "Adult", K862&lt;30, "Young Adult")</f>
        <v>Young Adult</v>
      </c>
      <c r="M862" s="4" t="s">
        <v>10</v>
      </c>
      <c r="N862" s="4">
        <v>2</v>
      </c>
      <c r="O862" s="5">
        <v>25</v>
      </c>
      <c r="P862">
        <f>N862*O862</f>
        <v>50</v>
      </c>
      <c r="Q862">
        <f>(P862*$U$4)</f>
        <v>0.75</v>
      </c>
    </row>
    <row r="863" spans="1:17">
      <c r="A863" s="2">
        <v>864</v>
      </c>
      <c r="B863" s="4">
        <f>YEAR(H863)</f>
        <v>2023</v>
      </c>
      <c r="C863" s="4">
        <f>MONTH(H863)</f>
        <v>7</v>
      </c>
      <c r="D863" s="4">
        <f>DAY(H863)</f>
        <v>27</v>
      </c>
      <c r="E863" s="4" t="str">
        <f>TEXT(H863,"dddd")</f>
        <v>Thursday</v>
      </c>
      <c r="F863" s="4" t="str">
        <f t="shared" si="14"/>
        <v>July</v>
      </c>
      <c r="G863" s="4"/>
      <c r="H863" s="3">
        <v>45134</v>
      </c>
      <c r="I863" s="4" t="s">
        <v>897</v>
      </c>
      <c r="J863" s="4" t="s">
        <v>29</v>
      </c>
      <c r="K863" s="4">
        <v>24</v>
      </c>
      <c r="L863" s="4" t="str" cm="1">
        <f t="array" ref="L863">_xlfn.IFS(K863&gt;=50, "Senior", K863&gt;=30, "Adult", K863&lt;30, "Young Adult")</f>
        <v>Young Adult</v>
      </c>
      <c r="M863" s="4" t="s">
        <v>10</v>
      </c>
      <c r="N863" s="4">
        <v>1</v>
      </c>
      <c r="O863" s="5">
        <v>500</v>
      </c>
      <c r="P863">
        <f>N863*O863</f>
        <v>500</v>
      </c>
      <c r="Q863">
        <f>(P863*$U$4)</f>
        <v>7.5</v>
      </c>
    </row>
    <row r="864" spans="1:17">
      <c r="A864" s="2">
        <v>865</v>
      </c>
      <c r="B864" s="4">
        <f>YEAR(H864)</f>
        <v>2023</v>
      </c>
      <c r="C864" s="4">
        <f>MONTH(H864)</f>
        <v>12</v>
      </c>
      <c r="D864" s="4">
        <f>DAY(H864)</f>
        <v>21</v>
      </c>
      <c r="E864" s="4" t="str">
        <f>TEXT(H864,"dddd")</f>
        <v>Thursday</v>
      </c>
      <c r="F864" s="4" t="str">
        <f t="shared" si="14"/>
        <v>December</v>
      </c>
      <c r="G864" s="4"/>
      <c r="H864" s="3">
        <v>45281</v>
      </c>
      <c r="I864" s="4" t="s">
        <v>898</v>
      </c>
      <c r="J864" s="4" t="s">
        <v>29</v>
      </c>
      <c r="K864" s="4">
        <v>24</v>
      </c>
      <c r="L864" s="4" t="str" cm="1">
        <f t="array" ref="L864">_xlfn.IFS(K864&gt;=50, "Senior", K864&gt;=30, "Adult", K864&lt;30, "Young Adult")</f>
        <v>Young Adult</v>
      </c>
      <c r="M864" s="4" t="s">
        <v>8</v>
      </c>
      <c r="N864" s="4">
        <v>1</v>
      </c>
      <c r="O864" s="5">
        <v>300</v>
      </c>
      <c r="P864">
        <f>N864*O864</f>
        <v>300</v>
      </c>
      <c r="Q864">
        <f>(P864*$U$4)</f>
        <v>4.5</v>
      </c>
    </row>
    <row r="865" spans="1:17">
      <c r="A865" s="2">
        <v>866</v>
      </c>
      <c r="B865" s="4">
        <f>YEAR(H865)</f>
        <v>2023</v>
      </c>
      <c r="C865" s="4">
        <f>MONTH(H865)</f>
        <v>5</v>
      </c>
      <c r="D865" s="4">
        <f>DAY(H865)</f>
        <v>5</v>
      </c>
      <c r="E865" s="4" t="str">
        <f>TEXT(H865,"dddd")</f>
        <v>Friday</v>
      </c>
      <c r="F865" s="4" t="str">
        <f t="shared" si="14"/>
        <v>May</v>
      </c>
      <c r="G865" s="4"/>
      <c r="H865" s="3">
        <v>45051</v>
      </c>
      <c r="I865" s="4" t="s">
        <v>899</v>
      </c>
      <c r="J865" s="4" t="s">
        <v>27</v>
      </c>
      <c r="K865" s="4">
        <v>24</v>
      </c>
      <c r="L865" s="4" t="str" cm="1">
        <f t="array" ref="L865">_xlfn.IFS(K865&gt;=50, "Senior", K865&gt;=30, "Adult", K865&lt;30, "Young Adult")</f>
        <v>Young Adult</v>
      </c>
      <c r="M865" s="4" t="s">
        <v>10</v>
      </c>
      <c r="N865" s="4">
        <v>1</v>
      </c>
      <c r="O865" s="5">
        <v>50</v>
      </c>
      <c r="P865">
        <f>N865*O865</f>
        <v>50</v>
      </c>
      <c r="Q865">
        <f>(P865*$U$4)</f>
        <v>0.75</v>
      </c>
    </row>
    <row r="866" spans="1:17">
      <c r="A866" s="2">
        <v>867</v>
      </c>
      <c r="B866" s="4">
        <f>YEAR(H866)</f>
        <v>2023</v>
      </c>
      <c r="C866" s="4">
        <f>MONTH(H866)</f>
        <v>6</v>
      </c>
      <c r="D866" s="4">
        <f>DAY(H866)</f>
        <v>6</v>
      </c>
      <c r="E866" s="4" t="str">
        <f>TEXT(H866,"dddd")</f>
        <v>Tuesday</v>
      </c>
      <c r="F866" s="4" t="str">
        <f t="shared" si="14"/>
        <v>June</v>
      </c>
      <c r="G866" s="4"/>
      <c r="H866" s="3">
        <v>45083</v>
      </c>
      <c r="I866" s="4" t="s">
        <v>900</v>
      </c>
      <c r="J866" s="4" t="s">
        <v>27</v>
      </c>
      <c r="K866" s="4">
        <v>23</v>
      </c>
      <c r="L866" s="4" t="str" cm="1">
        <f t="array" ref="L866">_xlfn.IFS(K866&gt;=50, "Senior", K866&gt;=30, "Adult", K866&lt;30, "Young Adult")</f>
        <v>Young Adult</v>
      </c>
      <c r="M866" s="4" t="s">
        <v>10</v>
      </c>
      <c r="N866" s="4">
        <v>1</v>
      </c>
      <c r="O866" s="5">
        <v>500</v>
      </c>
      <c r="P866">
        <f>N866*O866</f>
        <v>500</v>
      </c>
      <c r="Q866">
        <f>(P866*$U$4)</f>
        <v>7.5</v>
      </c>
    </row>
    <row r="867" spans="1:17">
      <c r="A867" s="2">
        <v>868</v>
      </c>
      <c r="B867" s="4">
        <f>YEAR(H867)</f>
        <v>2023</v>
      </c>
      <c r="C867" s="4">
        <f>MONTH(H867)</f>
        <v>12</v>
      </c>
      <c r="D867" s="4">
        <f>DAY(H867)</f>
        <v>6</v>
      </c>
      <c r="E867" s="4" t="str">
        <f>TEXT(H867,"dddd")</f>
        <v>Wednesday</v>
      </c>
      <c r="F867" s="4" t="str">
        <f t="shared" si="14"/>
        <v>December</v>
      </c>
      <c r="G867" s="4"/>
      <c r="H867" s="3">
        <v>45266</v>
      </c>
      <c r="I867" s="4" t="s">
        <v>901</v>
      </c>
      <c r="J867" s="4" t="s">
        <v>29</v>
      </c>
      <c r="K867" s="4">
        <v>23</v>
      </c>
      <c r="L867" s="4" t="str" cm="1">
        <f t="array" ref="L867">_xlfn.IFS(K867&gt;=50, "Senior", K867&gt;=30, "Adult", K867&lt;30, "Young Adult")</f>
        <v>Young Adult</v>
      </c>
      <c r="M867" s="4" t="s">
        <v>10</v>
      </c>
      <c r="N867" s="4">
        <v>1</v>
      </c>
      <c r="O867" s="5">
        <v>300</v>
      </c>
      <c r="P867">
        <f>N867*O867</f>
        <v>300</v>
      </c>
      <c r="Q867">
        <f>(P867*$U$4)</f>
        <v>4.5</v>
      </c>
    </row>
    <row r="868" spans="1:17">
      <c r="A868" s="2">
        <v>869</v>
      </c>
      <c r="B868" s="4">
        <f>YEAR(H868)</f>
        <v>2023</v>
      </c>
      <c r="C868" s="4">
        <f>MONTH(H868)</f>
        <v>10</v>
      </c>
      <c r="D868" s="4">
        <f>DAY(H868)</f>
        <v>25</v>
      </c>
      <c r="E868" s="4" t="str">
        <f>TEXT(H868,"dddd")</f>
        <v>Wednesday</v>
      </c>
      <c r="F868" s="4" t="str">
        <f t="shared" si="14"/>
        <v>October</v>
      </c>
      <c r="G868" s="4"/>
      <c r="H868" s="3">
        <v>45224</v>
      </c>
      <c r="I868" s="4" t="s">
        <v>902</v>
      </c>
      <c r="J868" s="4" t="s">
        <v>27</v>
      </c>
      <c r="K868" s="4">
        <v>23</v>
      </c>
      <c r="L868" s="4" t="str" cm="1">
        <f t="array" ref="L868">_xlfn.IFS(K868&gt;=50, "Senior", K868&gt;=30, "Adult", K868&lt;30, "Young Adult")</f>
        <v>Young Adult</v>
      </c>
      <c r="M868" s="4" t="s">
        <v>3</v>
      </c>
      <c r="N868" s="4">
        <v>3</v>
      </c>
      <c r="O868" s="5">
        <v>500</v>
      </c>
      <c r="P868">
        <f>N868*O868</f>
        <v>1500</v>
      </c>
      <c r="Q868">
        <f>(P868*$U$4)</f>
        <v>22.5</v>
      </c>
    </row>
    <row r="869" spans="1:17">
      <c r="A869" s="2">
        <v>870</v>
      </c>
      <c r="B869" s="4">
        <f>YEAR(H869)</f>
        <v>2023</v>
      </c>
      <c r="C869" s="4">
        <f>MONTH(H869)</f>
        <v>7</v>
      </c>
      <c r="D869" s="4">
        <f>DAY(H869)</f>
        <v>8</v>
      </c>
      <c r="E869" s="4" t="str">
        <f>TEXT(H869,"dddd")</f>
        <v>Saturday</v>
      </c>
      <c r="F869" s="4" t="str">
        <f t="shared" si="14"/>
        <v>July</v>
      </c>
      <c r="G869" s="4"/>
      <c r="H869" s="3">
        <v>45115</v>
      </c>
      <c r="I869" s="4" t="s">
        <v>903</v>
      </c>
      <c r="J869" s="4" t="s">
        <v>29</v>
      </c>
      <c r="K869" s="4">
        <v>23</v>
      </c>
      <c r="L869" s="4" t="str" cm="1">
        <f t="array" ref="L869">_xlfn.IFS(K869&gt;=50, "Senior", K869&gt;=30, "Adult", K869&lt;30, "Young Adult")</f>
        <v>Young Adult</v>
      </c>
      <c r="M869" s="4" t="s">
        <v>10</v>
      </c>
      <c r="N869" s="4">
        <v>4</v>
      </c>
      <c r="O869" s="5">
        <v>30</v>
      </c>
      <c r="P869">
        <f>N869*O869</f>
        <v>120</v>
      </c>
      <c r="Q869">
        <f>(P869*$U$4)</f>
        <v>1.7999999999999998</v>
      </c>
    </row>
    <row r="870" spans="1:17">
      <c r="A870" s="2">
        <v>871</v>
      </c>
      <c r="B870" s="4">
        <f>YEAR(H870)</f>
        <v>2023</v>
      </c>
      <c r="C870" s="4">
        <f>MONTH(H870)</f>
        <v>8</v>
      </c>
      <c r="D870" s="4">
        <f>DAY(H870)</f>
        <v>31</v>
      </c>
      <c r="E870" s="4" t="str">
        <f>TEXT(H870,"dddd")</f>
        <v>Thursday</v>
      </c>
      <c r="F870" s="4" t="str">
        <f t="shared" si="14"/>
        <v>August</v>
      </c>
      <c r="G870" s="4"/>
      <c r="H870" s="3">
        <v>45169</v>
      </c>
      <c r="I870" s="4" t="s">
        <v>904</v>
      </c>
      <c r="J870" s="4" t="s">
        <v>27</v>
      </c>
      <c r="K870" s="4">
        <v>23</v>
      </c>
      <c r="L870" s="4" t="str" cm="1">
        <f t="array" ref="L870">_xlfn.IFS(K870&gt;=50, "Senior", K870&gt;=30, "Adult", K870&lt;30, "Young Adult")</f>
        <v>Young Adult</v>
      </c>
      <c r="M870" s="4" t="s">
        <v>3</v>
      </c>
      <c r="N870" s="4">
        <v>2</v>
      </c>
      <c r="O870" s="5">
        <v>30</v>
      </c>
      <c r="P870">
        <f>N870*O870</f>
        <v>60</v>
      </c>
      <c r="Q870">
        <f>(P870*$U$4)</f>
        <v>0.89999999999999991</v>
      </c>
    </row>
    <row r="871" spans="1:17">
      <c r="A871" s="2">
        <v>872</v>
      </c>
      <c r="B871" s="4">
        <f>YEAR(H871)</f>
        <v>2023</v>
      </c>
      <c r="C871" s="4">
        <f>MONTH(H871)</f>
        <v>10</v>
      </c>
      <c r="D871" s="4">
        <f>DAY(H871)</f>
        <v>11</v>
      </c>
      <c r="E871" s="4" t="str">
        <f>TEXT(H871,"dddd")</f>
        <v>Wednesday</v>
      </c>
      <c r="F871" s="4" t="str">
        <f t="shared" si="14"/>
        <v>October</v>
      </c>
      <c r="G871" s="4"/>
      <c r="H871" s="3">
        <v>45210</v>
      </c>
      <c r="I871" s="4" t="s">
        <v>905</v>
      </c>
      <c r="J871" s="4" t="s">
        <v>29</v>
      </c>
      <c r="K871" s="4">
        <v>23</v>
      </c>
      <c r="L871" s="4" t="str" cm="1">
        <f t="array" ref="L871">_xlfn.IFS(K871&gt;=50, "Senior", K871&gt;=30, "Adult", K871&lt;30, "Young Adult")</f>
        <v>Young Adult</v>
      </c>
      <c r="M871" s="4" t="s">
        <v>3</v>
      </c>
      <c r="N871" s="4">
        <v>3</v>
      </c>
      <c r="O871" s="5">
        <v>25</v>
      </c>
      <c r="P871">
        <f>N871*O871</f>
        <v>75</v>
      </c>
      <c r="Q871">
        <f>(P871*$U$4)</f>
        <v>1.125</v>
      </c>
    </row>
    <row r="872" spans="1:17">
      <c r="A872" s="2">
        <v>873</v>
      </c>
      <c r="B872" s="4">
        <f>YEAR(H872)</f>
        <v>2023</v>
      </c>
      <c r="C872" s="4">
        <f>MONTH(H872)</f>
        <v>9</v>
      </c>
      <c r="D872" s="4">
        <f>DAY(H872)</f>
        <v>29</v>
      </c>
      <c r="E872" s="4" t="str">
        <f>TEXT(H872,"dddd")</f>
        <v>Friday</v>
      </c>
      <c r="F872" s="4" t="str">
        <f t="shared" si="14"/>
        <v>September</v>
      </c>
      <c r="G872" s="4"/>
      <c r="H872" s="3">
        <v>45198</v>
      </c>
      <c r="I872" s="4" t="s">
        <v>906</v>
      </c>
      <c r="J872" s="4" t="s">
        <v>29</v>
      </c>
      <c r="K872" s="4">
        <v>23</v>
      </c>
      <c r="L872" s="4" t="str" cm="1">
        <f t="array" ref="L872">_xlfn.IFS(K872&gt;=50, "Senior", K872&gt;=30, "Adult", K872&lt;30, "Young Adult")</f>
        <v>Young Adult</v>
      </c>
      <c r="M872" s="4" t="s">
        <v>10</v>
      </c>
      <c r="N872" s="4">
        <v>4</v>
      </c>
      <c r="O872" s="5">
        <v>25</v>
      </c>
      <c r="P872">
        <f>N872*O872</f>
        <v>100</v>
      </c>
      <c r="Q872">
        <f>(P872*$U$4)</f>
        <v>1.5</v>
      </c>
    </row>
    <row r="873" spans="1:17">
      <c r="A873" s="2">
        <v>874</v>
      </c>
      <c r="B873" s="4">
        <f>YEAR(H873)</f>
        <v>2023</v>
      </c>
      <c r="C873" s="4">
        <f>MONTH(H873)</f>
        <v>6</v>
      </c>
      <c r="D873" s="4">
        <f>DAY(H873)</f>
        <v>26</v>
      </c>
      <c r="E873" s="4" t="str">
        <f>TEXT(H873,"dddd")</f>
        <v>Monday</v>
      </c>
      <c r="F873" s="4" t="str">
        <f t="shared" si="14"/>
        <v>June</v>
      </c>
      <c r="G873" s="4"/>
      <c r="H873" s="3">
        <v>45103</v>
      </c>
      <c r="I873" s="4" t="s">
        <v>907</v>
      </c>
      <c r="J873" s="4" t="s">
        <v>27</v>
      </c>
      <c r="K873" s="4">
        <v>23</v>
      </c>
      <c r="L873" s="4" t="str" cm="1">
        <f t="array" ref="L873">_xlfn.IFS(K873&gt;=50, "Senior", K873&gt;=30, "Adult", K873&lt;30, "Young Adult")</f>
        <v>Young Adult</v>
      </c>
      <c r="M873" s="4" t="s">
        <v>3</v>
      </c>
      <c r="N873" s="4">
        <v>1</v>
      </c>
      <c r="O873" s="5">
        <v>30</v>
      </c>
      <c r="P873">
        <f>N873*O873</f>
        <v>30</v>
      </c>
      <c r="Q873">
        <f>(P873*$U$4)</f>
        <v>0.44999999999999996</v>
      </c>
    </row>
    <row r="874" spans="1:17">
      <c r="A874" s="2">
        <v>875</v>
      </c>
      <c r="B874" s="4">
        <f>YEAR(H874)</f>
        <v>2023</v>
      </c>
      <c r="C874" s="4">
        <f>MONTH(H874)</f>
        <v>8</v>
      </c>
      <c r="D874" s="4">
        <f>DAY(H874)</f>
        <v>6</v>
      </c>
      <c r="E874" s="4" t="str">
        <f>TEXT(H874,"dddd")</f>
        <v>Sunday</v>
      </c>
      <c r="F874" s="4" t="str">
        <f t="shared" si="14"/>
        <v>August</v>
      </c>
      <c r="G874" s="4"/>
      <c r="H874" s="3">
        <v>45144</v>
      </c>
      <c r="I874" s="4" t="s">
        <v>908</v>
      </c>
      <c r="J874" s="4" t="s">
        <v>29</v>
      </c>
      <c r="K874" s="4">
        <v>23</v>
      </c>
      <c r="L874" s="4" t="str" cm="1">
        <f t="array" ref="L874">_xlfn.IFS(K874&gt;=50, "Senior", K874&gt;=30, "Adult", K874&lt;30, "Young Adult")</f>
        <v>Young Adult</v>
      </c>
      <c r="M874" s="4" t="s">
        <v>10</v>
      </c>
      <c r="N874" s="4">
        <v>4</v>
      </c>
      <c r="O874" s="5">
        <v>500</v>
      </c>
      <c r="P874">
        <f>N874*O874</f>
        <v>2000</v>
      </c>
      <c r="Q874">
        <f>(P874*$U$4)</f>
        <v>30</v>
      </c>
    </row>
    <row r="875" spans="1:17">
      <c r="A875" s="2">
        <v>876</v>
      </c>
      <c r="B875" s="4">
        <f>YEAR(H875)</f>
        <v>2023</v>
      </c>
      <c r="C875" s="4">
        <f>MONTH(H875)</f>
        <v>10</v>
      </c>
      <c r="D875" s="4">
        <f>DAY(H875)</f>
        <v>9</v>
      </c>
      <c r="E875" s="4" t="str">
        <f>TEXT(H875,"dddd")</f>
        <v>Monday</v>
      </c>
      <c r="F875" s="4" t="str">
        <f t="shared" si="14"/>
        <v>October</v>
      </c>
      <c r="G875" s="4"/>
      <c r="H875" s="3">
        <v>45208</v>
      </c>
      <c r="I875" s="4" t="s">
        <v>909</v>
      </c>
      <c r="J875" s="4" t="s">
        <v>27</v>
      </c>
      <c r="K875" s="4">
        <v>23</v>
      </c>
      <c r="L875" s="4" t="str" cm="1">
        <f t="array" ref="L875">_xlfn.IFS(K875&gt;=50, "Senior", K875&gt;=30, "Adult", K875&lt;30, "Young Adult")</f>
        <v>Young Adult</v>
      </c>
      <c r="M875" s="4" t="s">
        <v>8</v>
      </c>
      <c r="N875" s="4">
        <v>4</v>
      </c>
      <c r="O875" s="5">
        <v>30</v>
      </c>
      <c r="P875">
        <f>N875*O875</f>
        <v>120</v>
      </c>
      <c r="Q875">
        <f>(P875*$U$4)</f>
        <v>1.7999999999999998</v>
      </c>
    </row>
    <row r="876" spans="1:17">
      <c r="A876" s="2">
        <v>877</v>
      </c>
      <c r="B876" s="4">
        <f>YEAR(H876)</f>
        <v>2023</v>
      </c>
      <c r="C876" s="4">
        <f>MONTH(H876)</f>
        <v>6</v>
      </c>
      <c r="D876" s="4">
        <f>DAY(H876)</f>
        <v>19</v>
      </c>
      <c r="E876" s="4" t="str">
        <f>TEXT(H876,"dddd")</f>
        <v>Monday</v>
      </c>
      <c r="F876" s="4" t="str">
        <f t="shared" si="14"/>
        <v>June</v>
      </c>
      <c r="G876" s="4"/>
      <c r="H876" s="3">
        <v>45096</v>
      </c>
      <c r="I876" s="4" t="s">
        <v>910</v>
      </c>
      <c r="J876" s="4" t="s">
        <v>29</v>
      </c>
      <c r="K876" s="4">
        <v>23</v>
      </c>
      <c r="L876" s="4" t="str" cm="1">
        <f t="array" ref="L876">_xlfn.IFS(K876&gt;=50, "Senior", K876&gt;=30, "Adult", K876&lt;30, "Young Adult")</f>
        <v>Young Adult</v>
      </c>
      <c r="M876" s="4" t="s">
        <v>8</v>
      </c>
      <c r="N876" s="4">
        <v>1</v>
      </c>
      <c r="O876" s="5">
        <v>25</v>
      </c>
      <c r="P876">
        <f>N876*O876</f>
        <v>25</v>
      </c>
      <c r="Q876">
        <f>(P876*$U$4)</f>
        <v>0.375</v>
      </c>
    </row>
    <row r="877" spans="1:17">
      <c r="A877" s="2">
        <v>878</v>
      </c>
      <c r="B877" s="4">
        <f>YEAR(H877)</f>
        <v>2023</v>
      </c>
      <c r="C877" s="4">
        <f>MONTH(H877)</f>
        <v>6</v>
      </c>
      <c r="D877" s="4">
        <f>DAY(H877)</f>
        <v>30</v>
      </c>
      <c r="E877" s="4" t="str">
        <f>TEXT(H877,"dddd")</f>
        <v>Friday</v>
      </c>
      <c r="F877" s="4" t="str">
        <f t="shared" si="14"/>
        <v>June</v>
      </c>
      <c r="G877" s="4"/>
      <c r="H877" s="3">
        <v>45107</v>
      </c>
      <c r="I877" s="4" t="s">
        <v>911</v>
      </c>
      <c r="J877" s="4" t="s">
        <v>29</v>
      </c>
      <c r="K877" s="4">
        <v>23</v>
      </c>
      <c r="L877" s="4" t="str" cm="1">
        <f t="array" ref="L877">_xlfn.IFS(K877&gt;=50, "Senior", K877&gt;=30, "Adult", K877&lt;30, "Young Adult")</f>
        <v>Young Adult</v>
      </c>
      <c r="M877" s="4" t="s">
        <v>8</v>
      </c>
      <c r="N877" s="4">
        <v>1</v>
      </c>
      <c r="O877" s="5">
        <v>30</v>
      </c>
      <c r="P877">
        <f>N877*O877</f>
        <v>30</v>
      </c>
      <c r="Q877">
        <f>(P877*$U$4)</f>
        <v>0.44999999999999996</v>
      </c>
    </row>
    <row r="878" spans="1:17">
      <c r="A878" s="2">
        <v>879</v>
      </c>
      <c r="B878" s="4">
        <f>YEAR(H878)</f>
        <v>2023</v>
      </c>
      <c r="C878" s="4">
        <f>MONTH(H878)</f>
        <v>12</v>
      </c>
      <c r="D878" s="4">
        <f>DAY(H878)</f>
        <v>26</v>
      </c>
      <c r="E878" s="4" t="str">
        <f>TEXT(H878,"dddd")</f>
        <v>Tuesday</v>
      </c>
      <c r="F878" s="4" t="str">
        <f t="shared" si="14"/>
        <v>December</v>
      </c>
      <c r="G878" s="4"/>
      <c r="H878" s="3">
        <v>45286</v>
      </c>
      <c r="I878" s="4" t="s">
        <v>912</v>
      </c>
      <c r="J878" s="4" t="s">
        <v>27</v>
      </c>
      <c r="K878" s="4">
        <v>23</v>
      </c>
      <c r="L878" s="4" t="str" cm="1">
        <f t="array" ref="L878">_xlfn.IFS(K878&gt;=50, "Senior", K878&gt;=30, "Adult", K878&lt;30, "Young Adult")</f>
        <v>Young Adult</v>
      </c>
      <c r="M878" s="4" t="s">
        <v>8</v>
      </c>
      <c r="N878" s="4">
        <v>1</v>
      </c>
      <c r="O878" s="5">
        <v>30</v>
      </c>
      <c r="P878">
        <f>N878*O878</f>
        <v>30</v>
      </c>
      <c r="Q878">
        <f>(P878*$U$4)</f>
        <v>0.44999999999999996</v>
      </c>
    </row>
    <row r="879" spans="1:17">
      <c r="A879" s="2">
        <v>880</v>
      </c>
      <c r="B879" s="4">
        <f>YEAR(H879)</f>
        <v>2023</v>
      </c>
      <c r="C879" s="4">
        <f>MONTH(H879)</f>
        <v>8</v>
      </c>
      <c r="D879" s="4">
        <f>DAY(H879)</f>
        <v>21</v>
      </c>
      <c r="E879" s="4" t="str">
        <f>TEXT(H879,"dddd")</f>
        <v>Monday</v>
      </c>
      <c r="F879" s="4" t="str">
        <f t="shared" si="14"/>
        <v>August</v>
      </c>
      <c r="G879" s="4"/>
      <c r="H879" s="3">
        <v>45159</v>
      </c>
      <c r="I879" s="4" t="s">
        <v>913</v>
      </c>
      <c r="J879" s="4" t="s">
        <v>27</v>
      </c>
      <c r="K879" s="4">
        <v>23</v>
      </c>
      <c r="L879" s="4" t="str" cm="1">
        <f t="array" ref="L879">_xlfn.IFS(K879&gt;=50, "Senior", K879&gt;=30, "Adult", K879&lt;30, "Young Adult")</f>
        <v>Young Adult</v>
      </c>
      <c r="M879" s="4" t="s">
        <v>3</v>
      </c>
      <c r="N879" s="4">
        <v>2</v>
      </c>
      <c r="O879" s="5">
        <v>500</v>
      </c>
      <c r="P879">
        <f>N879*O879</f>
        <v>1000</v>
      </c>
      <c r="Q879">
        <f>(P879*$U$4)</f>
        <v>15</v>
      </c>
    </row>
    <row r="880" spans="1:17">
      <c r="A880" s="2">
        <v>881</v>
      </c>
      <c r="B880" s="4">
        <f>YEAR(H880)</f>
        <v>2023</v>
      </c>
      <c r="C880" s="4">
        <f>MONTH(H880)</f>
        <v>5</v>
      </c>
      <c r="D880" s="4">
        <f>DAY(H880)</f>
        <v>19</v>
      </c>
      <c r="E880" s="4" t="str">
        <f>TEXT(H880,"dddd")</f>
        <v>Friday</v>
      </c>
      <c r="F880" s="4" t="str">
        <f t="shared" si="14"/>
        <v>May</v>
      </c>
      <c r="G880" s="4"/>
      <c r="H880" s="3">
        <v>45065</v>
      </c>
      <c r="I880" s="4" t="s">
        <v>914</v>
      </c>
      <c r="J880" s="4" t="s">
        <v>27</v>
      </c>
      <c r="K880" s="4">
        <v>23</v>
      </c>
      <c r="L880" s="4" t="str" cm="1">
        <f t="array" ref="L880">_xlfn.IFS(K880&gt;=50, "Senior", K880&gt;=30, "Adult", K880&lt;30, "Young Adult")</f>
        <v>Young Adult</v>
      </c>
      <c r="M880" s="4" t="s">
        <v>10</v>
      </c>
      <c r="N880" s="4">
        <v>1</v>
      </c>
      <c r="O880" s="5">
        <v>300</v>
      </c>
      <c r="P880">
        <f>N880*O880</f>
        <v>300</v>
      </c>
      <c r="Q880">
        <f>(P880*$U$4)</f>
        <v>4.5</v>
      </c>
    </row>
    <row r="881" spans="1:17">
      <c r="A881" s="2">
        <v>882</v>
      </c>
      <c r="B881" s="4">
        <f>YEAR(H881)</f>
        <v>2023</v>
      </c>
      <c r="C881" s="4">
        <f>MONTH(H881)</f>
        <v>6</v>
      </c>
      <c r="D881" s="4">
        <f>DAY(H881)</f>
        <v>6</v>
      </c>
      <c r="E881" s="4" t="str">
        <f>TEXT(H881,"dddd")</f>
        <v>Tuesday</v>
      </c>
      <c r="F881" s="4" t="str">
        <f t="shared" si="14"/>
        <v>June</v>
      </c>
      <c r="G881" s="4"/>
      <c r="H881" s="3">
        <v>45083</v>
      </c>
      <c r="I881" s="4" t="s">
        <v>915</v>
      </c>
      <c r="J881" s="4" t="s">
        <v>29</v>
      </c>
      <c r="K881" s="4">
        <v>23</v>
      </c>
      <c r="L881" s="4" t="str" cm="1">
        <f t="array" ref="L881">_xlfn.IFS(K881&gt;=50, "Senior", K881&gt;=30, "Adult", K881&lt;30, "Young Adult")</f>
        <v>Young Adult</v>
      </c>
      <c r="M881" s="4" t="s">
        <v>10</v>
      </c>
      <c r="N881" s="4">
        <v>2</v>
      </c>
      <c r="O881" s="5">
        <v>25</v>
      </c>
      <c r="P881">
        <f>N881*O881</f>
        <v>50</v>
      </c>
      <c r="Q881">
        <f>(P881*$U$4)</f>
        <v>0.75</v>
      </c>
    </row>
    <row r="882" spans="1:17">
      <c r="A882" s="2">
        <v>883</v>
      </c>
      <c r="B882" s="4">
        <f>YEAR(H882)</f>
        <v>2023</v>
      </c>
      <c r="C882" s="4">
        <f>MONTH(H882)</f>
        <v>5</v>
      </c>
      <c r="D882" s="4">
        <f>DAY(H882)</f>
        <v>9</v>
      </c>
      <c r="E882" s="4" t="str">
        <f>TEXT(H882,"dddd")</f>
        <v>Tuesday</v>
      </c>
      <c r="F882" s="4" t="str">
        <f t="shared" si="14"/>
        <v>May</v>
      </c>
      <c r="G882" s="4"/>
      <c r="H882" s="3">
        <v>45055</v>
      </c>
      <c r="I882" s="4" t="s">
        <v>916</v>
      </c>
      <c r="J882" s="4" t="s">
        <v>27</v>
      </c>
      <c r="K882" s="4">
        <v>23</v>
      </c>
      <c r="L882" s="4" t="str" cm="1">
        <f t="array" ref="L882">_xlfn.IFS(K882&gt;=50, "Senior", K882&gt;=30, "Adult", K882&lt;30, "Young Adult")</f>
        <v>Young Adult</v>
      </c>
      <c r="M882" s="4" t="s">
        <v>10</v>
      </c>
      <c r="N882" s="4">
        <v>1</v>
      </c>
      <c r="O882" s="5">
        <v>500</v>
      </c>
      <c r="P882">
        <f>N882*O882</f>
        <v>500</v>
      </c>
      <c r="Q882">
        <f>(P882*$U$4)</f>
        <v>7.5</v>
      </c>
    </row>
    <row r="883" spans="1:17">
      <c r="A883" s="2">
        <v>884</v>
      </c>
      <c r="B883" s="4">
        <f>YEAR(H883)</f>
        <v>2023</v>
      </c>
      <c r="C883" s="4">
        <f>MONTH(H883)</f>
        <v>4</v>
      </c>
      <c r="D883" s="4">
        <f>DAY(H883)</f>
        <v>29</v>
      </c>
      <c r="E883" s="4" t="str">
        <f>TEXT(H883,"dddd")</f>
        <v>Saturday</v>
      </c>
      <c r="F883" s="4" t="str">
        <f t="shared" si="14"/>
        <v>April</v>
      </c>
      <c r="G883" s="4"/>
      <c r="H883" s="3">
        <v>45045</v>
      </c>
      <c r="I883" s="4" t="s">
        <v>917</v>
      </c>
      <c r="J883" s="4" t="s">
        <v>29</v>
      </c>
      <c r="K883" s="4">
        <v>23</v>
      </c>
      <c r="L883" s="4" t="str" cm="1">
        <f t="array" ref="L883">_xlfn.IFS(K883&gt;=50, "Senior", K883&gt;=30, "Adult", K883&lt;30, "Young Adult")</f>
        <v>Young Adult</v>
      </c>
      <c r="M883" s="4" t="s">
        <v>8</v>
      </c>
      <c r="N883" s="4">
        <v>2</v>
      </c>
      <c r="O883" s="5">
        <v>30</v>
      </c>
      <c r="P883">
        <f>N883*O883</f>
        <v>60</v>
      </c>
      <c r="Q883">
        <f>(P883*$U$4)</f>
        <v>0.89999999999999991</v>
      </c>
    </row>
    <row r="884" spans="1:17">
      <c r="A884" s="2">
        <v>885</v>
      </c>
      <c r="B884" s="4">
        <f>YEAR(H884)</f>
        <v>2023</v>
      </c>
      <c r="C884" s="4">
        <f>MONTH(H884)</f>
        <v>3</v>
      </c>
      <c r="D884" s="4">
        <f>DAY(H884)</f>
        <v>3</v>
      </c>
      <c r="E884" s="4" t="str">
        <f>TEXT(H884,"dddd")</f>
        <v>Friday</v>
      </c>
      <c r="F884" s="4" t="str">
        <f t="shared" si="14"/>
        <v>March</v>
      </c>
      <c r="G884" s="4"/>
      <c r="H884" s="3">
        <v>44988</v>
      </c>
      <c r="I884" s="4" t="s">
        <v>918</v>
      </c>
      <c r="J884" s="4" t="s">
        <v>29</v>
      </c>
      <c r="K884" s="4">
        <v>23</v>
      </c>
      <c r="L884" s="4" t="str" cm="1">
        <f t="array" ref="L884">_xlfn.IFS(K884&gt;=50, "Senior", K884&gt;=30, "Adult", K884&lt;30, "Young Adult")</f>
        <v>Young Adult</v>
      </c>
      <c r="M884" s="4" t="s">
        <v>8</v>
      </c>
      <c r="N884" s="4">
        <v>4</v>
      </c>
      <c r="O884" s="5">
        <v>30</v>
      </c>
      <c r="P884">
        <f>N884*O884</f>
        <v>120</v>
      </c>
      <c r="Q884">
        <f>(P884*$U$4)</f>
        <v>1.7999999999999998</v>
      </c>
    </row>
    <row r="885" spans="1:17">
      <c r="A885" s="2">
        <v>886</v>
      </c>
      <c r="B885" s="4">
        <f>YEAR(H885)</f>
        <v>2023</v>
      </c>
      <c r="C885" s="4">
        <f>MONTH(H885)</f>
        <v>4</v>
      </c>
      <c r="D885" s="4">
        <f>DAY(H885)</f>
        <v>9</v>
      </c>
      <c r="E885" s="4" t="str">
        <f>TEXT(H885,"dddd")</f>
        <v>Sunday</v>
      </c>
      <c r="F885" s="4" t="str">
        <f t="shared" si="14"/>
        <v>April</v>
      </c>
      <c r="G885" s="4"/>
      <c r="H885" s="3">
        <v>45025</v>
      </c>
      <c r="I885" s="4" t="s">
        <v>919</v>
      </c>
      <c r="J885" s="4" t="s">
        <v>27</v>
      </c>
      <c r="K885" s="4">
        <v>23</v>
      </c>
      <c r="L885" s="4" t="str" cm="1">
        <f t="array" ref="L885">_xlfn.IFS(K885&gt;=50, "Senior", K885&gt;=30, "Adult", K885&lt;30, "Young Adult")</f>
        <v>Young Adult</v>
      </c>
      <c r="M885" s="4" t="s">
        <v>10</v>
      </c>
      <c r="N885" s="4">
        <v>3</v>
      </c>
      <c r="O885" s="5">
        <v>300</v>
      </c>
      <c r="P885">
        <f>N885*O885</f>
        <v>900</v>
      </c>
      <c r="Q885">
        <f>(P885*$U$4)</f>
        <v>13.5</v>
      </c>
    </row>
    <row r="886" spans="1:17">
      <c r="A886" s="2">
        <v>887</v>
      </c>
      <c r="B886" s="4">
        <f>YEAR(H886)</f>
        <v>2023</v>
      </c>
      <c r="C886" s="4">
        <f>MONTH(H886)</f>
        <v>6</v>
      </c>
      <c r="D886" s="4">
        <f>DAY(H886)</f>
        <v>11</v>
      </c>
      <c r="E886" s="4" t="str">
        <f>TEXT(H886,"dddd")</f>
        <v>Sunday</v>
      </c>
      <c r="F886" s="4" t="str">
        <f t="shared" si="14"/>
        <v>June</v>
      </c>
      <c r="G886" s="4"/>
      <c r="H886" s="3">
        <v>45088</v>
      </c>
      <c r="I886" s="4" t="s">
        <v>920</v>
      </c>
      <c r="J886" s="4" t="s">
        <v>27</v>
      </c>
      <c r="K886" s="4">
        <v>23</v>
      </c>
      <c r="L886" s="4" t="str" cm="1">
        <f t="array" ref="L886">_xlfn.IFS(K886&gt;=50, "Senior", K886&gt;=30, "Adult", K886&lt;30, "Young Adult")</f>
        <v>Young Adult</v>
      </c>
      <c r="M886" s="4" t="s">
        <v>8</v>
      </c>
      <c r="N886" s="4">
        <v>4</v>
      </c>
      <c r="O886" s="5">
        <v>25</v>
      </c>
      <c r="P886">
        <f>N886*O886</f>
        <v>100</v>
      </c>
      <c r="Q886">
        <f>(P886*$U$4)</f>
        <v>1.5</v>
      </c>
    </row>
    <row r="887" spans="1:17">
      <c r="A887" s="2">
        <v>888</v>
      </c>
      <c r="B887" s="4">
        <f>YEAR(H887)</f>
        <v>2023</v>
      </c>
      <c r="C887" s="4">
        <f>MONTH(H887)</f>
        <v>3</v>
      </c>
      <c r="D887" s="4">
        <f>DAY(H887)</f>
        <v>3</v>
      </c>
      <c r="E887" s="4" t="str">
        <f>TEXT(H887,"dddd")</f>
        <v>Friday</v>
      </c>
      <c r="F887" s="4" t="str">
        <f t="shared" si="14"/>
        <v>March</v>
      </c>
      <c r="G887" s="4"/>
      <c r="H887" s="3">
        <v>44988</v>
      </c>
      <c r="I887" s="4" t="s">
        <v>921</v>
      </c>
      <c r="J887" s="4" t="s">
        <v>29</v>
      </c>
      <c r="K887" s="4">
        <v>23</v>
      </c>
      <c r="L887" s="4" t="str" cm="1">
        <f t="array" ref="L887">_xlfn.IFS(K887&gt;=50, "Senior", K887&gt;=30, "Adult", K887&lt;30, "Young Adult")</f>
        <v>Young Adult</v>
      </c>
      <c r="M887" s="4" t="s">
        <v>10</v>
      </c>
      <c r="N887" s="4">
        <v>4</v>
      </c>
      <c r="O887" s="5">
        <v>25</v>
      </c>
      <c r="P887">
        <f>N887*O887</f>
        <v>100</v>
      </c>
      <c r="Q887">
        <f>(P887*$U$4)</f>
        <v>1.5</v>
      </c>
    </row>
    <row r="888" spans="1:17">
      <c r="A888" s="2">
        <v>889</v>
      </c>
      <c r="B888" s="4">
        <f>YEAR(H888)</f>
        <v>2023</v>
      </c>
      <c r="C888" s="4">
        <f>MONTH(H888)</f>
        <v>10</v>
      </c>
      <c r="D888" s="4">
        <f>DAY(H888)</f>
        <v>2</v>
      </c>
      <c r="E888" s="4" t="str">
        <f>TEXT(H888,"dddd")</f>
        <v>Monday</v>
      </c>
      <c r="F888" s="4" t="str">
        <f t="shared" si="14"/>
        <v>October</v>
      </c>
      <c r="G888" s="4"/>
      <c r="H888" s="3">
        <v>45201</v>
      </c>
      <c r="I888" s="4" t="s">
        <v>922</v>
      </c>
      <c r="J888" s="4" t="s">
        <v>29</v>
      </c>
      <c r="K888" s="4">
        <v>23</v>
      </c>
      <c r="L888" s="4" t="str" cm="1">
        <f t="array" ref="L888">_xlfn.IFS(K888&gt;=50, "Senior", K888&gt;=30, "Adult", K888&lt;30, "Young Adult")</f>
        <v>Young Adult</v>
      </c>
      <c r="M888" s="4" t="s">
        <v>10</v>
      </c>
      <c r="N888" s="4">
        <v>1</v>
      </c>
      <c r="O888" s="5">
        <v>50</v>
      </c>
      <c r="P888">
        <f>N888*O888</f>
        <v>50</v>
      </c>
      <c r="Q888">
        <f>(P888*$U$4)</f>
        <v>0.75</v>
      </c>
    </row>
    <row r="889" spans="1:17">
      <c r="A889" s="2">
        <v>890</v>
      </c>
      <c r="B889" s="4">
        <f>YEAR(H889)</f>
        <v>2023</v>
      </c>
      <c r="C889" s="4">
        <f>MONTH(H889)</f>
        <v>12</v>
      </c>
      <c r="D889" s="4">
        <f>DAY(H889)</f>
        <v>20</v>
      </c>
      <c r="E889" s="4" t="str">
        <f>TEXT(H889,"dddd")</f>
        <v>Wednesday</v>
      </c>
      <c r="F889" s="4" t="str">
        <f t="shared" si="14"/>
        <v>December</v>
      </c>
      <c r="G889" s="4"/>
      <c r="H889" s="3">
        <v>45280</v>
      </c>
      <c r="I889" s="4" t="s">
        <v>923</v>
      </c>
      <c r="J889" s="4" t="s">
        <v>27</v>
      </c>
      <c r="K889" s="4">
        <v>23</v>
      </c>
      <c r="L889" s="4" t="str" cm="1">
        <f t="array" ref="L889">_xlfn.IFS(K889&gt;=50, "Senior", K889&gt;=30, "Adult", K889&lt;30, "Young Adult")</f>
        <v>Young Adult</v>
      </c>
      <c r="M889" s="4" t="s">
        <v>10</v>
      </c>
      <c r="N889" s="4">
        <v>2</v>
      </c>
      <c r="O889" s="5">
        <v>25</v>
      </c>
      <c r="P889">
        <f>N889*O889</f>
        <v>50</v>
      </c>
      <c r="Q889">
        <f>(P889*$U$4)</f>
        <v>0.75</v>
      </c>
    </row>
    <row r="890" spans="1:17">
      <c r="A890" s="2">
        <v>891</v>
      </c>
      <c r="B890" s="4">
        <f>YEAR(H890)</f>
        <v>2023</v>
      </c>
      <c r="C890" s="4">
        <f>MONTH(H890)</f>
        <v>4</v>
      </c>
      <c r="D890" s="4">
        <f>DAY(H890)</f>
        <v>5</v>
      </c>
      <c r="E890" s="4" t="str">
        <f>TEXT(H890,"dddd")</f>
        <v>Wednesday</v>
      </c>
      <c r="F890" s="4" t="str">
        <f t="shared" si="14"/>
        <v>April</v>
      </c>
      <c r="G890" s="4"/>
      <c r="H890" s="3">
        <v>45021</v>
      </c>
      <c r="I890" s="4" t="s">
        <v>924</v>
      </c>
      <c r="J890" s="4" t="s">
        <v>27</v>
      </c>
      <c r="K890" s="4">
        <v>22</v>
      </c>
      <c r="L890" s="4" t="str" cm="1">
        <f t="array" ref="L890">_xlfn.IFS(K890&gt;=50, "Senior", K890&gt;=30, "Adult", K890&lt;30, "Young Adult")</f>
        <v>Young Adult</v>
      </c>
      <c r="M890" s="4" t="s">
        <v>10</v>
      </c>
      <c r="N890" s="4">
        <v>3</v>
      </c>
      <c r="O890" s="5">
        <v>300</v>
      </c>
      <c r="P890">
        <f>N890*O890</f>
        <v>900</v>
      </c>
      <c r="Q890">
        <f>(P890*$U$4)</f>
        <v>13.5</v>
      </c>
    </row>
    <row r="891" spans="1:17">
      <c r="A891" s="2">
        <v>892</v>
      </c>
      <c r="B891" s="4">
        <f>YEAR(H891)</f>
        <v>2023</v>
      </c>
      <c r="C891" s="4">
        <f>MONTH(H891)</f>
        <v>4</v>
      </c>
      <c r="D891" s="4">
        <f>DAY(H891)</f>
        <v>9</v>
      </c>
      <c r="E891" s="4" t="str">
        <f>TEXT(H891,"dddd")</f>
        <v>Sunday</v>
      </c>
      <c r="F891" s="4" t="str">
        <f t="shared" si="14"/>
        <v>April</v>
      </c>
      <c r="G891" s="4"/>
      <c r="H891" s="3">
        <v>45025</v>
      </c>
      <c r="I891" s="4" t="s">
        <v>925</v>
      </c>
      <c r="J891" s="4" t="s">
        <v>27</v>
      </c>
      <c r="K891" s="4">
        <v>22</v>
      </c>
      <c r="L891" s="4" t="str" cm="1">
        <f t="array" ref="L891">_xlfn.IFS(K891&gt;=50, "Senior", K891&gt;=30, "Adult", K891&lt;30, "Young Adult")</f>
        <v>Young Adult</v>
      </c>
      <c r="M891" s="4" t="s">
        <v>10</v>
      </c>
      <c r="N891" s="4">
        <v>1</v>
      </c>
      <c r="O891" s="5">
        <v>50</v>
      </c>
      <c r="P891">
        <f>N891*O891</f>
        <v>50</v>
      </c>
      <c r="Q891">
        <f>(P891*$U$4)</f>
        <v>0.75</v>
      </c>
    </row>
    <row r="892" spans="1:17">
      <c r="A892" s="2">
        <v>893</v>
      </c>
      <c r="B892" s="4">
        <f>YEAR(H892)</f>
        <v>2023</v>
      </c>
      <c r="C892" s="4">
        <f>MONTH(H892)</f>
        <v>4</v>
      </c>
      <c r="D892" s="4">
        <f>DAY(H892)</f>
        <v>21</v>
      </c>
      <c r="E892" s="4" t="str">
        <f>TEXT(H892,"dddd")</f>
        <v>Friday</v>
      </c>
      <c r="F892" s="4" t="str">
        <f t="shared" si="14"/>
        <v>April</v>
      </c>
      <c r="G892" s="4"/>
      <c r="H892" s="3">
        <v>45037</v>
      </c>
      <c r="I892" s="4" t="s">
        <v>926</v>
      </c>
      <c r="J892" s="4" t="s">
        <v>27</v>
      </c>
      <c r="K892" s="4">
        <v>22</v>
      </c>
      <c r="L892" s="4" t="str" cm="1">
        <f t="array" ref="L892">_xlfn.IFS(K892&gt;=50, "Senior", K892&gt;=30, "Adult", K892&lt;30, "Young Adult")</f>
        <v>Young Adult</v>
      </c>
      <c r="M892" s="4" t="s">
        <v>10</v>
      </c>
      <c r="N892" s="4">
        <v>1</v>
      </c>
      <c r="O892" s="5">
        <v>50</v>
      </c>
      <c r="P892">
        <f>N892*O892</f>
        <v>50</v>
      </c>
      <c r="Q892">
        <f>(P892*$U$4)</f>
        <v>0.75</v>
      </c>
    </row>
    <row r="893" spans="1:17">
      <c r="A893" s="2">
        <v>894</v>
      </c>
      <c r="B893" s="4">
        <f>YEAR(H893)</f>
        <v>2023</v>
      </c>
      <c r="C893" s="4">
        <f>MONTH(H893)</f>
        <v>9</v>
      </c>
      <c r="D893" s="4">
        <f>DAY(H893)</f>
        <v>5</v>
      </c>
      <c r="E893" s="4" t="str">
        <f>TEXT(H893,"dddd")</f>
        <v>Tuesday</v>
      </c>
      <c r="F893" s="4" t="str">
        <f t="shared" si="14"/>
        <v>September</v>
      </c>
      <c r="G893" s="4"/>
      <c r="H893" s="3">
        <v>45174</v>
      </c>
      <c r="I893" s="4" t="s">
        <v>927</v>
      </c>
      <c r="J893" s="4" t="s">
        <v>27</v>
      </c>
      <c r="K893" s="4">
        <v>22</v>
      </c>
      <c r="L893" s="4" t="str" cm="1">
        <f t="array" ref="L893">_xlfn.IFS(K893&gt;=50, "Senior", K893&gt;=30, "Adult", K893&lt;30, "Young Adult")</f>
        <v>Young Adult</v>
      </c>
      <c r="M893" s="4" t="s">
        <v>10</v>
      </c>
      <c r="N893" s="4">
        <v>1</v>
      </c>
      <c r="O893" s="5">
        <v>30</v>
      </c>
      <c r="P893">
        <f>N893*O893</f>
        <v>30</v>
      </c>
      <c r="Q893">
        <f>(P893*$U$4)</f>
        <v>0.44999999999999996</v>
      </c>
    </row>
    <row r="894" spans="1:17">
      <c r="A894" s="2">
        <v>895</v>
      </c>
      <c r="B894" s="4">
        <f>YEAR(H894)</f>
        <v>2023</v>
      </c>
      <c r="C894" s="4">
        <f>MONTH(H894)</f>
        <v>5</v>
      </c>
      <c r="D894" s="4">
        <f>DAY(H894)</f>
        <v>22</v>
      </c>
      <c r="E894" s="4" t="str">
        <f>TEXT(H894,"dddd")</f>
        <v>Monday</v>
      </c>
      <c r="F894" s="4" t="str">
        <f t="shared" si="14"/>
        <v>May</v>
      </c>
      <c r="G894" s="4"/>
      <c r="H894" s="3">
        <v>45068</v>
      </c>
      <c r="I894" s="4" t="s">
        <v>928</v>
      </c>
      <c r="J894" s="4" t="s">
        <v>29</v>
      </c>
      <c r="K894" s="4">
        <v>22</v>
      </c>
      <c r="L894" s="4" t="str" cm="1">
        <f t="array" ref="L894">_xlfn.IFS(K894&gt;=50, "Senior", K894&gt;=30, "Adult", K894&lt;30, "Young Adult")</f>
        <v>Young Adult</v>
      </c>
      <c r="M894" s="4" t="s">
        <v>8</v>
      </c>
      <c r="N894" s="4">
        <v>4</v>
      </c>
      <c r="O894" s="5">
        <v>30</v>
      </c>
      <c r="P894">
        <f>N894*O894</f>
        <v>120</v>
      </c>
      <c r="Q894">
        <f>(P894*$U$4)</f>
        <v>1.7999999999999998</v>
      </c>
    </row>
    <row r="895" spans="1:17">
      <c r="A895" s="2">
        <v>896</v>
      </c>
      <c r="B895" s="4">
        <f>YEAR(H895)</f>
        <v>2023</v>
      </c>
      <c r="C895" s="4">
        <f>MONTH(H895)</f>
        <v>10</v>
      </c>
      <c r="D895" s="4">
        <f>DAY(H895)</f>
        <v>29</v>
      </c>
      <c r="E895" s="4" t="str">
        <f>TEXT(H895,"dddd")</f>
        <v>Sunday</v>
      </c>
      <c r="F895" s="4" t="str">
        <f t="shared" si="14"/>
        <v>October</v>
      </c>
      <c r="G895" s="4"/>
      <c r="H895" s="3">
        <v>45228</v>
      </c>
      <c r="I895" s="4" t="s">
        <v>929</v>
      </c>
      <c r="J895" s="4" t="s">
        <v>29</v>
      </c>
      <c r="K895" s="4">
        <v>22</v>
      </c>
      <c r="L895" s="4" t="str" cm="1">
        <f t="array" ref="L895">_xlfn.IFS(K895&gt;=50, "Senior", K895&gt;=30, "Adult", K895&lt;30, "Young Adult")</f>
        <v>Young Adult</v>
      </c>
      <c r="M895" s="4" t="s">
        <v>10</v>
      </c>
      <c r="N895" s="4">
        <v>2</v>
      </c>
      <c r="O895" s="5">
        <v>25</v>
      </c>
      <c r="P895">
        <f>N895*O895</f>
        <v>50</v>
      </c>
      <c r="Q895">
        <f>(P895*$U$4)</f>
        <v>0.75</v>
      </c>
    </row>
    <row r="896" spans="1:17">
      <c r="A896" s="2">
        <v>897</v>
      </c>
      <c r="B896" s="4">
        <f>YEAR(H896)</f>
        <v>2023</v>
      </c>
      <c r="C896" s="4">
        <f>MONTH(H896)</f>
        <v>9</v>
      </c>
      <c r="D896" s="4">
        <f>DAY(H896)</f>
        <v>26</v>
      </c>
      <c r="E896" s="4" t="str">
        <f>TEXT(H896,"dddd")</f>
        <v>Tuesday</v>
      </c>
      <c r="F896" s="4" t="str">
        <f t="shared" si="14"/>
        <v>September</v>
      </c>
      <c r="G896" s="4"/>
      <c r="H896" s="3">
        <v>45195</v>
      </c>
      <c r="I896" s="4" t="s">
        <v>930</v>
      </c>
      <c r="J896" s="4" t="s">
        <v>29</v>
      </c>
      <c r="K896" s="4">
        <v>22</v>
      </c>
      <c r="L896" s="4" t="str" cm="1">
        <f t="array" ref="L896">_xlfn.IFS(K896&gt;=50, "Senior", K896&gt;=30, "Adult", K896&lt;30, "Young Adult")</f>
        <v>Young Adult</v>
      </c>
      <c r="M896" s="4" t="s">
        <v>10</v>
      </c>
      <c r="N896" s="4">
        <v>2</v>
      </c>
      <c r="O896" s="5">
        <v>50</v>
      </c>
      <c r="P896">
        <f>N896*O896</f>
        <v>100</v>
      </c>
      <c r="Q896">
        <f>(P896*$U$4)</f>
        <v>1.5</v>
      </c>
    </row>
    <row r="897" spans="1:17">
      <c r="A897" s="2">
        <v>898</v>
      </c>
      <c r="B897" s="4">
        <f>YEAR(H897)</f>
        <v>2023</v>
      </c>
      <c r="C897" s="4">
        <f>MONTH(H897)</f>
        <v>11</v>
      </c>
      <c r="D897" s="4">
        <f>DAY(H897)</f>
        <v>2</v>
      </c>
      <c r="E897" s="4" t="str">
        <f>TEXT(H897,"dddd")</f>
        <v>Thursday</v>
      </c>
      <c r="F897" s="4" t="str">
        <f t="shared" si="14"/>
        <v>November</v>
      </c>
      <c r="G897" s="4"/>
      <c r="H897" s="3">
        <v>45232</v>
      </c>
      <c r="I897" s="4" t="s">
        <v>931</v>
      </c>
      <c r="J897" s="4" t="s">
        <v>29</v>
      </c>
      <c r="K897" s="4">
        <v>22</v>
      </c>
      <c r="L897" s="4" t="str" cm="1">
        <f t="array" ref="L897">_xlfn.IFS(K897&gt;=50, "Senior", K897&gt;=30, "Adult", K897&lt;30, "Young Adult")</f>
        <v>Young Adult</v>
      </c>
      <c r="M897" s="4" t="s">
        <v>8</v>
      </c>
      <c r="N897" s="4">
        <v>3</v>
      </c>
      <c r="O897" s="5">
        <v>30</v>
      </c>
      <c r="P897">
        <f>N897*O897</f>
        <v>90</v>
      </c>
      <c r="Q897">
        <f>(P897*$U$4)</f>
        <v>1.3499999999999999</v>
      </c>
    </row>
    <row r="898" spans="1:17">
      <c r="A898" s="2">
        <v>899</v>
      </c>
      <c r="B898" s="4">
        <f>YEAR(H898)</f>
        <v>2023</v>
      </c>
      <c r="C898" s="4">
        <f>MONTH(H898)</f>
        <v>5</v>
      </c>
      <c r="D898" s="4">
        <f>DAY(H898)</f>
        <v>25</v>
      </c>
      <c r="E898" s="4" t="str">
        <f>TEXT(H898,"dddd")</f>
        <v>Thursday</v>
      </c>
      <c r="F898" s="4" t="str">
        <f t="shared" si="14"/>
        <v>May</v>
      </c>
      <c r="G898" s="4"/>
      <c r="H898" s="3">
        <v>45071</v>
      </c>
      <c r="I898" s="4" t="s">
        <v>932</v>
      </c>
      <c r="J898" s="4" t="s">
        <v>27</v>
      </c>
      <c r="K898" s="4">
        <v>22</v>
      </c>
      <c r="L898" s="4" t="str" cm="1">
        <f t="array" ref="L898">_xlfn.IFS(K898&gt;=50, "Senior", K898&gt;=30, "Adult", K898&lt;30, "Young Adult")</f>
        <v>Young Adult</v>
      </c>
      <c r="M898" s="4" t="s">
        <v>8</v>
      </c>
      <c r="N898" s="4">
        <v>2</v>
      </c>
      <c r="O898" s="5">
        <v>300</v>
      </c>
      <c r="P898">
        <f>N898*O898</f>
        <v>600</v>
      </c>
      <c r="Q898">
        <f>(P898*$U$4)</f>
        <v>9</v>
      </c>
    </row>
    <row r="899" spans="1:17">
      <c r="A899" s="2">
        <v>900</v>
      </c>
      <c r="B899" s="4">
        <f>YEAR(H899)</f>
        <v>2023</v>
      </c>
      <c r="C899" s="4">
        <f>MONTH(H899)</f>
        <v>2</v>
      </c>
      <c r="D899" s="4">
        <f>DAY(H899)</f>
        <v>21</v>
      </c>
      <c r="E899" s="4" t="str">
        <f>TEXT(H899,"dddd")</f>
        <v>Tuesday</v>
      </c>
      <c r="F899" s="4" t="str">
        <f t="shared" ref="F899:F962" si="15">TEXT(H899,"mmmm")</f>
        <v>February</v>
      </c>
      <c r="G899" s="4"/>
      <c r="H899" s="3">
        <v>44978</v>
      </c>
      <c r="I899" s="4" t="s">
        <v>933</v>
      </c>
      <c r="J899" s="4" t="s">
        <v>27</v>
      </c>
      <c r="K899" s="4">
        <v>22</v>
      </c>
      <c r="L899" s="4" t="str" cm="1">
        <f t="array" ref="L899">_xlfn.IFS(K899&gt;=50, "Senior", K899&gt;=30, "Adult", K899&lt;30, "Young Adult")</f>
        <v>Young Adult</v>
      </c>
      <c r="M899" s="4" t="s">
        <v>8</v>
      </c>
      <c r="N899" s="4">
        <v>2</v>
      </c>
      <c r="O899" s="5">
        <v>30</v>
      </c>
      <c r="P899">
        <f>N899*O899</f>
        <v>60</v>
      </c>
      <c r="Q899">
        <f>(P899*$U$4)</f>
        <v>0.89999999999999991</v>
      </c>
    </row>
    <row r="900" spans="1:17">
      <c r="A900" s="2">
        <v>901</v>
      </c>
      <c r="B900" s="4">
        <f>YEAR(H900)</f>
        <v>2023</v>
      </c>
      <c r="C900" s="4">
        <f>MONTH(H900)</f>
        <v>4</v>
      </c>
      <c r="D900" s="4">
        <f>DAY(H900)</f>
        <v>10</v>
      </c>
      <c r="E900" s="4" t="str">
        <f>TEXT(H900,"dddd")</f>
        <v>Monday</v>
      </c>
      <c r="F900" s="4" t="str">
        <f t="shared" si="15"/>
        <v>April</v>
      </c>
      <c r="G900" s="4"/>
      <c r="H900" s="3">
        <v>45026</v>
      </c>
      <c r="I900" s="4" t="s">
        <v>934</v>
      </c>
      <c r="J900" s="4" t="s">
        <v>27</v>
      </c>
      <c r="K900" s="4">
        <v>22</v>
      </c>
      <c r="L900" s="4" t="str" cm="1">
        <f t="array" ref="L900">_xlfn.IFS(K900&gt;=50, "Senior", K900&gt;=30, "Adult", K900&lt;30, "Young Adult")</f>
        <v>Young Adult</v>
      </c>
      <c r="M900" s="4" t="s">
        <v>10</v>
      </c>
      <c r="N900" s="4">
        <v>1</v>
      </c>
      <c r="O900" s="5">
        <v>30</v>
      </c>
      <c r="P900">
        <f>N900*O900</f>
        <v>30</v>
      </c>
      <c r="Q900">
        <f>(P900*$U$4)</f>
        <v>0.44999999999999996</v>
      </c>
    </row>
    <row r="901" spans="1:17">
      <c r="A901" s="2">
        <v>902</v>
      </c>
      <c r="B901" s="4">
        <f>YEAR(H901)</f>
        <v>2023</v>
      </c>
      <c r="C901" s="4">
        <f>MONTH(H901)</f>
        <v>6</v>
      </c>
      <c r="D901" s="4">
        <f>DAY(H901)</f>
        <v>1</v>
      </c>
      <c r="E901" s="4" t="str">
        <f>TEXT(H901,"dddd")</f>
        <v>Thursday</v>
      </c>
      <c r="F901" s="4" t="str">
        <f t="shared" si="15"/>
        <v>June</v>
      </c>
      <c r="G901" s="4"/>
      <c r="H901" s="3">
        <v>45078</v>
      </c>
      <c r="I901" s="4" t="s">
        <v>935</v>
      </c>
      <c r="J901" s="4" t="s">
        <v>29</v>
      </c>
      <c r="K901" s="4">
        <v>22</v>
      </c>
      <c r="L901" s="4" t="str" cm="1">
        <f t="array" ref="L901">_xlfn.IFS(K901&gt;=50, "Senior", K901&gt;=30, "Adult", K901&lt;30, "Young Adult")</f>
        <v>Young Adult</v>
      </c>
      <c r="M901" s="4" t="s">
        <v>3</v>
      </c>
      <c r="N901" s="4">
        <v>1</v>
      </c>
      <c r="O901" s="5">
        <v>50</v>
      </c>
      <c r="P901">
        <f>N901*O901</f>
        <v>50</v>
      </c>
      <c r="Q901">
        <f>(P901*$U$4)</f>
        <v>0.75</v>
      </c>
    </row>
    <row r="902" spans="1:17">
      <c r="A902" s="2">
        <v>903</v>
      </c>
      <c r="B902" s="4">
        <f>YEAR(H902)</f>
        <v>2023</v>
      </c>
      <c r="C902" s="4">
        <f>MONTH(H902)</f>
        <v>4</v>
      </c>
      <c r="D902" s="4">
        <f>DAY(H902)</f>
        <v>27</v>
      </c>
      <c r="E902" s="4" t="str">
        <f>TEXT(H902,"dddd")</f>
        <v>Thursday</v>
      </c>
      <c r="F902" s="4" t="str">
        <f t="shared" si="15"/>
        <v>April</v>
      </c>
      <c r="G902" s="4"/>
      <c r="H902" s="3">
        <v>45043</v>
      </c>
      <c r="I902" s="4" t="s">
        <v>936</v>
      </c>
      <c r="J902" s="4" t="s">
        <v>29</v>
      </c>
      <c r="K902" s="4">
        <v>22</v>
      </c>
      <c r="L902" s="4" t="str" cm="1">
        <f t="array" ref="L902">_xlfn.IFS(K902&gt;=50, "Senior", K902&gt;=30, "Adult", K902&lt;30, "Young Adult")</f>
        <v>Young Adult</v>
      </c>
      <c r="M902" s="4" t="s">
        <v>3</v>
      </c>
      <c r="N902" s="4">
        <v>4</v>
      </c>
      <c r="O902" s="5">
        <v>50</v>
      </c>
      <c r="P902">
        <f>N902*O902</f>
        <v>200</v>
      </c>
      <c r="Q902">
        <f>(P902*$U$4)</f>
        <v>3</v>
      </c>
    </row>
    <row r="903" spans="1:17">
      <c r="A903" s="2">
        <v>904</v>
      </c>
      <c r="B903" s="4">
        <f>YEAR(H903)</f>
        <v>2023</v>
      </c>
      <c r="C903" s="4">
        <f>MONTH(H903)</f>
        <v>7</v>
      </c>
      <c r="D903" s="4">
        <f>DAY(H903)</f>
        <v>4</v>
      </c>
      <c r="E903" s="4" t="str">
        <f>TEXT(H903,"dddd")</f>
        <v>Tuesday</v>
      </c>
      <c r="F903" s="4" t="str">
        <f t="shared" si="15"/>
        <v>July</v>
      </c>
      <c r="G903" s="4"/>
      <c r="H903" s="3">
        <v>45111</v>
      </c>
      <c r="I903" s="4" t="s">
        <v>937</v>
      </c>
      <c r="J903" s="4" t="s">
        <v>27</v>
      </c>
      <c r="K903" s="4">
        <v>22</v>
      </c>
      <c r="L903" s="4" t="str" cm="1">
        <f t="array" ref="L903">_xlfn.IFS(K903&gt;=50, "Senior", K903&gt;=30, "Adult", K903&lt;30, "Young Adult")</f>
        <v>Young Adult</v>
      </c>
      <c r="M903" s="4" t="s">
        <v>8</v>
      </c>
      <c r="N903" s="4">
        <v>1</v>
      </c>
      <c r="O903" s="5">
        <v>500</v>
      </c>
      <c r="P903">
        <f>N903*O903</f>
        <v>500</v>
      </c>
      <c r="Q903">
        <f>(P903*$U$4)</f>
        <v>7.5</v>
      </c>
    </row>
    <row r="904" spans="1:17">
      <c r="A904" s="2">
        <v>905</v>
      </c>
      <c r="B904" s="4">
        <f>YEAR(H904)</f>
        <v>2023</v>
      </c>
      <c r="C904" s="4">
        <f>MONTH(H904)</f>
        <v>4</v>
      </c>
      <c r="D904" s="4">
        <f>DAY(H904)</f>
        <v>2</v>
      </c>
      <c r="E904" s="4" t="str">
        <f>TEXT(H904,"dddd")</f>
        <v>Sunday</v>
      </c>
      <c r="F904" s="4" t="str">
        <f t="shared" si="15"/>
        <v>April</v>
      </c>
      <c r="G904" s="4"/>
      <c r="H904" s="3">
        <v>45018</v>
      </c>
      <c r="I904" s="4" t="s">
        <v>938</v>
      </c>
      <c r="J904" s="4" t="s">
        <v>27</v>
      </c>
      <c r="K904" s="4">
        <v>22</v>
      </c>
      <c r="L904" s="4" t="str" cm="1">
        <f t="array" ref="L904">_xlfn.IFS(K904&gt;=50, "Senior", K904&gt;=30, "Adult", K904&lt;30, "Young Adult")</f>
        <v>Young Adult</v>
      </c>
      <c r="M904" s="4" t="s">
        <v>3</v>
      </c>
      <c r="N904" s="4">
        <v>1</v>
      </c>
      <c r="O904" s="5">
        <v>300</v>
      </c>
      <c r="P904">
        <f>N904*O904</f>
        <v>300</v>
      </c>
      <c r="Q904">
        <f>(P904*$U$4)</f>
        <v>4.5</v>
      </c>
    </row>
    <row r="905" spans="1:17">
      <c r="A905" s="2">
        <v>906</v>
      </c>
      <c r="B905" s="4">
        <f>YEAR(H905)</f>
        <v>2023</v>
      </c>
      <c r="C905" s="4">
        <f>MONTH(H905)</f>
        <v>6</v>
      </c>
      <c r="D905" s="4">
        <f>DAY(H905)</f>
        <v>4</v>
      </c>
      <c r="E905" s="4" t="str">
        <f>TEXT(H905,"dddd")</f>
        <v>Sunday</v>
      </c>
      <c r="F905" s="4" t="str">
        <f t="shared" si="15"/>
        <v>June</v>
      </c>
      <c r="G905" s="4"/>
      <c r="H905" s="3">
        <v>45081</v>
      </c>
      <c r="I905" s="4" t="s">
        <v>939</v>
      </c>
      <c r="J905" s="4" t="s">
        <v>29</v>
      </c>
      <c r="K905" s="4">
        <v>22</v>
      </c>
      <c r="L905" s="4" t="str" cm="1">
        <f t="array" ref="L905">_xlfn.IFS(K905&gt;=50, "Senior", K905&gt;=30, "Adult", K905&lt;30, "Young Adult")</f>
        <v>Young Adult</v>
      </c>
      <c r="M905" s="4" t="s">
        <v>8</v>
      </c>
      <c r="N905" s="4">
        <v>1</v>
      </c>
      <c r="O905" s="5">
        <v>50</v>
      </c>
      <c r="P905">
        <f>N905*O905</f>
        <v>50</v>
      </c>
      <c r="Q905">
        <f>(P905*$U$4)</f>
        <v>0.75</v>
      </c>
    </row>
    <row r="906" spans="1:17">
      <c r="A906" s="2">
        <v>907</v>
      </c>
      <c r="B906" s="4">
        <f>YEAR(H906)</f>
        <v>2023</v>
      </c>
      <c r="C906" s="4">
        <f>MONTH(H906)</f>
        <v>1</v>
      </c>
      <c r="D906" s="4">
        <f>DAY(H906)</f>
        <v>8</v>
      </c>
      <c r="E906" s="4" t="str">
        <f>TEXT(H906,"dddd")</f>
        <v>Sunday</v>
      </c>
      <c r="F906" s="4" t="str">
        <f t="shared" si="15"/>
        <v>January</v>
      </c>
      <c r="G906" s="4"/>
      <c r="H906" s="3">
        <v>44934</v>
      </c>
      <c r="I906" s="4" t="s">
        <v>940</v>
      </c>
      <c r="J906" s="4" t="s">
        <v>29</v>
      </c>
      <c r="K906" s="4">
        <v>22</v>
      </c>
      <c r="L906" s="4" t="str" cm="1">
        <f t="array" ref="L906">_xlfn.IFS(K906&gt;=50, "Senior", K906&gt;=30, "Adult", K906&lt;30, "Young Adult")</f>
        <v>Young Adult</v>
      </c>
      <c r="M906" s="4" t="s">
        <v>10</v>
      </c>
      <c r="N906" s="4">
        <v>1</v>
      </c>
      <c r="O906" s="5">
        <v>25</v>
      </c>
      <c r="P906">
        <f>N906*O906</f>
        <v>25</v>
      </c>
      <c r="Q906">
        <f>(P906*$U$4)</f>
        <v>0.375</v>
      </c>
    </row>
    <row r="907" spans="1:17">
      <c r="A907" s="2">
        <v>908</v>
      </c>
      <c r="B907" s="4">
        <f>YEAR(H907)</f>
        <v>2023</v>
      </c>
      <c r="C907" s="4">
        <f>MONTH(H907)</f>
        <v>12</v>
      </c>
      <c r="D907" s="4">
        <f>DAY(H907)</f>
        <v>29</v>
      </c>
      <c r="E907" s="4" t="str">
        <f>TEXT(H907,"dddd")</f>
        <v>Friday</v>
      </c>
      <c r="F907" s="4" t="str">
        <f t="shared" si="15"/>
        <v>December</v>
      </c>
      <c r="G907" s="4"/>
      <c r="H907" s="3">
        <v>45289</v>
      </c>
      <c r="I907" s="4" t="s">
        <v>941</v>
      </c>
      <c r="J907" s="4" t="s">
        <v>27</v>
      </c>
      <c r="K907" s="4">
        <v>22</v>
      </c>
      <c r="L907" s="4" t="str" cm="1">
        <f t="array" ref="L907">_xlfn.IFS(K907&gt;=50, "Senior", K907&gt;=30, "Adult", K907&lt;30, "Young Adult")</f>
        <v>Young Adult</v>
      </c>
      <c r="M907" s="4" t="s">
        <v>3</v>
      </c>
      <c r="N907" s="4">
        <v>4</v>
      </c>
      <c r="O907" s="5">
        <v>300</v>
      </c>
      <c r="P907">
        <f>N907*O907</f>
        <v>1200</v>
      </c>
      <c r="Q907">
        <f>(P907*$U$4)</f>
        <v>18</v>
      </c>
    </row>
    <row r="908" spans="1:17">
      <c r="A908" s="2">
        <v>909</v>
      </c>
      <c r="B908" s="4">
        <f>YEAR(H908)</f>
        <v>2023</v>
      </c>
      <c r="C908" s="4">
        <f>MONTH(H908)</f>
        <v>10</v>
      </c>
      <c r="D908" s="4">
        <f>DAY(H908)</f>
        <v>1</v>
      </c>
      <c r="E908" s="4" t="str">
        <f>TEXT(H908,"dddd")</f>
        <v>Sunday</v>
      </c>
      <c r="F908" s="4" t="str">
        <f t="shared" si="15"/>
        <v>October</v>
      </c>
      <c r="G908" s="4"/>
      <c r="H908" s="3">
        <v>45200</v>
      </c>
      <c r="I908" s="4" t="s">
        <v>942</v>
      </c>
      <c r="J908" s="4" t="s">
        <v>27</v>
      </c>
      <c r="K908" s="4">
        <v>22</v>
      </c>
      <c r="L908" s="4" t="str" cm="1">
        <f t="array" ref="L908">_xlfn.IFS(K908&gt;=50, "Senior", K908&gt;=30, "Adult", K908&lt;30, "Young Adult")</f>
        <v>Young Adult</v>
      </c>
      <c r="M908" s="4" t="s">
        <v>10</v>
      </c>
      <c r="N908" s="4">
        <v>1</v>
      </c>
      <c r="O908" s="5">
        <v>300</v>
      </c>
      <c r="P908">
        <f>N908*O908</f>
        <v>300</v>
      </c>
      <c r="Q908">
        <f>(P908*$U$4)</f>
        <v>4.5</v>
      </c>
    </row>
    <row r="909" spans="1:17">
      <c r="A909" s="2">
        <v>910</v>
      </c>
      <c r="B909" s="4">
        <f>YEAR(H909)</f>
        <v>2023</v>
      </c>
      <c r="C909" s="4">
        <f>MONTH(H909)</f>
        <v>3</v>
      </c>
      <c r="D909" s="4">
        <f>DAY(H909)</f>
        <v>6</v>
      </c>
      <c r="E909" s="4" t="str">
        <f>TEXT(H909,"dddd")</f>
        <v>Monday</v>
      </c>
      <c r="F909" s="4" t="str">
        <f t="shared" si="15"/>
        <v>March</v>
      </c>
      <c r="G909" s="4"/>
      <c r="H909" s="3">
        <v>44991</v>
      </c>
      <c r="I909" s="4" t="s">
        <v>943</v>
      </c>
      <c r="J909" s="4" t="s">
        <v>29</v>
      </c>
      <c r="K909" s="4">
        <v>22</v>
      </c>
      <c r="L909" s="4" t="str" cm="1">
        <f t="array" ref="L909">_xlfn.IFS(K909&gt;=50, "Senior", K909&gt;=30, "Adult", K909&lt;30, "Young Adult")</f>
        <v>Young Adult</v>
      </c>
      <c r="M909" s="4" t="s">
        <v>3</v>
      </c>
      <c r="N909" s="4">
        <v>3</v>
      </c>
      <c r="O909" s="5">
        <v>50</v>
      </c>
      <c r="P909">
        <f>N909*O909</f>
        <v>150</v>
      </c>
      <c r="Q909">
        <f>(P909*$U$4)</f>
        <v>2.25</v>
      </c>
    </row>
    <row r="910" spans="1:17">
      <c r="A910" s="2">
        <v>911</v>
      </c>
      <c r="B910" s="4">
        <f>YEAR(H910)</f>
        <v>2023</v>
      </c>
      <c r="C910" s="4">
        <f>MONTH(H910)</f>
        <v>5</v>
      </c>
      <c r="D910" s="4">
        <f>DAY(H910)</f>
        <v>21</v>
      </c>
      <c r="E910" s="4" t="str">
        <f>TEXT(H910,"dddd")</f>
        <v>Sunday</v>
      </c>
      <c r="F910" s="4" t="str">
        <f t="shared" si="15"/>
        <v>May</v>
      </c>
      <c r="G910" s="4"/>
      <c r="H910" s="3">
        <v>45067</v>
      </c>
      <c r="I910" s="4" t="s">
        <v>944</v>
      </c>
      <c r="J910" s="4" t="s">
        <v>27</v>
      </c>
      <c r="K910" s="4">
        <v>22</v>
      </c>
      <c r="L910" s="4" t="str" cm="1">
        <f t="array" ref="L910">_xlfn.IFS(K910&gt;=50, "Senior", K910&gt;=30, "Adult", K910&lt;30, "Young Adult")</f>
        <v>Young Adult</v>
      </c>
      <c r="M910" s="4" t="s">
        <v>10</v>
      </c>
      <c r="N910" s="4">
        <v>3</v>
      </c>
      <c r="O910" s="5">
        <v>300</v>
      </c>
      <c r="P910">
        <f>N910*O910</f>
        <v>900</v>
      </c>
      <c r="Q910">
        <f>(P910*$U$4)</f>
        <v>13.5</v>
      </c>
    </row>
    <row r="911" spans="1:17">
      <c r="A911" s="2">
        <v>912</v>
      </c>
      <c r="B911" s="4">
        <f>YEAR(H911)</f>
        <v>2023</v>
      </c>
      <c r="C911" s="4">
        <f>MONTH(H911)</f>
        <v>1</v>
      </c>
      <c r="D911" s="4">
        <f>DAY(H911)</f>
        <v>24</v>
      </c>
      <c r="E911" s="4" t="str">
        <f>TEXT(H911,"dddd")</f>
        <v>Tuesday</v>
      </c>
      <c r="F911" s="4" t="str">
        <f t="shared" si="15"/>
        <v>January</v>
      </c>
      <c r="G911" s="4"/>
      <c r="H911" s="3">
        <v>44950</v>
      </c>
      <c r="I911" s="4" t="s">
        <v>945</v>
      </c>
      <c r="J911" s="4" t="s">
        <v>27</v>
      </c>
      <c r="K911" s="4">
        <v>22</v>
      </c>
      <c r="L911" s="4" t="str" cm="1">
        <f t="array" ref="L911">_xlfn.IFS(K911&gt;=50, "Senior", K911&gt;=30, "Adult", K911&lt;30, "Young Adult")</f>
        <v>Young Adult</v>
      </c>
      <c r="M911" s="4" t="s">
        <v>3</v>
      </c>
      <c r="N911" s="4">
        <v>3</v>
      </c>
      <c r="O911" s="5">
        <v>50</v>
      </c>
      <c r="P911">
        <f>N911*O911</f>
        <v>150</v>
      </c>
      <c r="Q911">
        <f>(P911*$U$4)</f>
        <v>2.25</v>
      </c>
    </row>
    <row r="912" spans="1:17">
      <c r="A912" s="2">
        <v>913</v>
      </c>
      <c r="B912" s="4">
        <f>YEAR(H912)</f>
        <v>2023</v>
      </c>
      <c r="C912" s="4">
        <f>MONTH(H912)</f>
        <v>1</v>
      </c>
      <c r="D912" s="4">
        <f>DAY(H912)</f>
        <v>28</v>
      </c>
      <c r="E912" s="4" t="str">
        <f>TEXT(H912,"dddd")</f>
        <v>Saturday</v>
      </c>
      <c r="F912" s="4" t="str">
        <f t="shared" si="15"/>
        <v>January</v>
      </c>
      <c r="G912" s="4"/>
      <c r="H912" s="3">
        <v>44954</v>
      </c>
      <c r="I912" s="4" t="s">
        <v>946</v>
      </c>
      <c r="J912" s="4" t="s">
        <v>27</v>
      </c>
      <c r="K912" s="4">
        <v>22</v>
      </c>
      <c r="L912" s="4" t="str" cm="1">
        <f t="array" ref="L912">_xlfn.IFS(K912&gt;=50, "Senior", K912&gt;=30, "Adult", K912&lt;30, "Young Adult")</f>
        <v>Young Adult</v>
      </c>
      <c r="M912" s="4" t="s">
        <v>10</v>
      </c>
      <c r="N912" s="4">
        <v>3</v>
      </c>
      <c r="O912" s="5">
        <v>30</v>
      </c>
      <c r="P912">
        <f>N912*O912</f>
        <v>90</v>
      </c>
      <c r="Q912">
        <f>(P912*$U$4)</f>
        <v>1.3499999999999999</v>
      </c>
    </row>
    <row r="913" spans="1:17">
      <c r="A913" s="2">
        <v>914</v>
      </c>
      <c r="B913" s="4">
        <f>YEAR(H913)</f>
        <v>2023</v>
      </c>
      <c r="C913" s="4">
        <f>MONTH(H913)</f>
        <v>10</v>
      </c>
      <c r="D913" s="4">
        <f>DAY(H913)</f>
        <v>11</v>
      </c>
      <c r="E913" s="4" t="str">
        <f>TEXT(H913,"dddd")</f>
        <v>Wednesday</v>
      </c>
      <c r="F913" s="4" t="str">
        <f t="shared" si="15"/>
        <v>October</v>
      </c>
      <c r="G913" s="4"/>
      <c r="H913" s="3">
        <v>45210</v>
      </c>
      <c r="I913" s="4" t="s">
        <v>947</v>
      </c>
      <c r="J913" s="4" t="s">
        <v>29</v>
      </c>
      <c r="K913" s="4">
        <v>22</v>
      </c>
      <c r="L913" s="4" t="str" cm="1">
        <f t="array" ref="L913">_xlfn.IFS(K913&gt;=50, "Senior", K913&gt;=30, "Adult", K913&lt;30, "Young Adult")</f>
        <v>Young Adult</v>
      </c>
      <c r="M913" s="4" t="s">
        <v>10</v>
      </c>
      <c r="N913" s="4">
        <v>1</v>
      </c>
      <c r="O913" s="5">
        <v>500</v>
      </c>
      <c r="P913">
        <f>N913*O913</f>
        <v>500</v>
      </c>
      <c r="Q913">
        <f>(P913*$U$4)</f>
        <v>7.5</v>
      </c>
    </row>
    <row r="914" spans="1:17">
      <c r="A914" s="2">
        <v>915</v>
      </c>
      <c r="B914" s="4">
        <f>YEAR(H914)</f>
        <v>2023</v>
      </c>
      <c r="C914" s="4">
        <f>MONTH(H914)</f>
        <v>5</v>
      </c>
      <c r="D914" s="4">
        <f>DAY(H914)</f>
        <v>30</v>
      </c>
      <c r="E914" s="4" t="str">
        <f>TEXT(H914,"dddd")</f>
        <v>Tuesday</v>
      </c>
      <c r="F914" s="4" t="str">
        <f t="shared" si="15"/>
        <v>May</v>
      </c>
      <c r="G914" s="4"/>
      <c r="H914" s="3">
        <v>45076</v>
      </c>
      <c r="I914" s="4" t="s">
        <v>948</v>
      </c>
      <c r="J914" s="4" t="s">
        <v>29</v>
      </c>
      <c r="K914" s="4">
        <v>22</v>
      </c>
      <c r="L914" s="4" t="str" cm="1">
        <f t="array" ref="L914">_xlfn.IFS(K914&gt;=50, "Senior", K914&gt;=30, "Adult", K914&lt;30, "Young Adult")</f>
        <v>Young Adult</v>
      </c>
      <c r="M914" s="4" t="s">
        <v>3</v>
      </c>
      <c r="N914" s="4">
        <v>3</v>
      </c>
      <c r="O914" s="5">
        <v>30</v>
      </c>
      <c r="P914">
        <f>N914*O914</f>
        <v>90</v>
      </c>
      <c r="Q914">
        <f>(P914*$U$4)</f>
        <v>1.3499999999999999</v>
      </c>
    </row>
    <row r="915" spans="1:17">
      <c r="A915" s="2">
        <v>916</v>
      </c>
      <c r="B915" s="4">
        <f>YEAR(H915)</f>
        <v>2023</v>
      </c>
      <c r="C915" s="4">
        <f>MONTH(H915)</f>
        <v>12</v>
      </c>
      <c r="D915" s="4">
        <f>DAY(H915)</f>
        <v>24</v>
      </c>
      <c r="E915" s="4" t="str">
        <f>TEXT(H915,"dddd")</f>
        <v>Sunday</v>
      </c>
      <c r="F915" s="4" t="str">
        <f t="shared" si="15"/>
        <v>December</v>
      </c>
      <c r="G915" s="4"/>
      <c r="H915" s="3">
        <v>45284</v>
      </c>
      <c r="I915" s="4" t="s">
        <v>949</v>
      </c>
      <c r="J915" s="4" t="s">
        <v>29</v>
      </c>
      <c r="K915" s="4">
        <v>22</v>
      </c>
      <c r="L915" s="4" t="str" cm="1">
        <f t="array" ref="L915">_xlfn.IFS(K915&gt;=50, "Senior", K915&gt;=30, "Adult", K915&lt;30, "Young Adult")</f>
        <v>Young Adult</v>
      </c>
      <c r="M915" s="4" t="s">
        <v>10</v>
      </c>
      <c r="N915" s="4">
        <v>1</v>
      </c>
      <c r="O915" s="5">
        <v>50</v>
      </c>
      <c r="P915">
        <f>N915*O915</f>
        <v>50</v>
      </c>
      <c r="Q915">
        <f>(P915*$U$4)</f>
        <v>0.75</v>
      </c>
    </row>
    <row r="916" spans="1:17">
      <c r="A916" s="2">
        <v>917</v>
      </c>
      <c r="B916" s="4">
        <f>YEAR(H916)</f>
        <v>2023</v>
      </c>
      <c r="C916" s="4">
        <f>MONTH(H916)</f>
        <v>3</v>
      </c>
      <c r="D916" s="4">
        <f>DAY(H916)</f>
        <v>6</v>
      </c>
      <c r="E916" s="4" t="str">
        <f>TEXT(H916,"dddd")</f>
        <v>Monday</v>
      </c>
      <c r="F916" s="4" t="str">
        <f t="shared" si="15"/>
        <v>March</v>
      </c>
      <c r="G916" s="4"/>
      <c r="H916" s="3">
        <v>44991</v>
      </c>
      <c r="I916" s="4" t="s">
        <v>950</v>
      </c>
      <c r="J916" s="4" t="s">
        <v>29</v>
      </c>
      <c r="K916" s="4">
        <v>22</v>
      </c>
      <c r="L916" s="4" t="str" cm="1">
        <f t="array" ref="L916">_xlfn.IFS(K916&gt;=50, "Senior", K916&gt;=30, "Adult", K916&lt;30, "Young Adult")</f>
        <v>Young Adult</v>
      </c>
      <c r="M916" s="4" t="s">
        <v>10</v>
      </c>
      <c r="N916" s="4">
        <v>4</v>
      </c>
      <c r="O916" s="5">
        <v>50</v>
      </c>
      <c r="P916">
        <f>N916*O916</f>
        <v>200</v>
      </c>
      <c r="Q916">
        <f>(P916*$U$4)</f>
        <v>3</v>
      </c>
    </row>
    <row r="917" spans="1:17">
      <c r="A917" s="2">
        <v>918</v>
      </c>
      <c r="B917" s="4">
        <f>YEAR(H917)</f>
        <v>2023</v>
      </c>
      <c r="C917" s="4">
        <f>MONTH(H917)</f>
        <v>11</v>
      </c>
      <c r="D917" s="4">
        <f>DAY(H917)</f>
        <v>23</v>
      </c>
      <c r="E917" s="4" t="str">
        <f>TEXT(H917,"dddd")</f>
        <v>Thursday</v>
      </c>
      <c r="F917" s="4" t="str">
        <f t="shared" si="15"/>
        <v>November</v>
      </c>
      <c r="G917" s="4"/>
      <c r="H917" s="3">
        <v>45253</v>
      </c>
      <c r="I917" s="4" t="s">
        <v>951</v>
      </c>
      <c r="J917" s="4" t="s">
        <v>29</v>
      </c>
      <c r="K917" s="4">
        <v>21</v>
      </c>
      <c r="L917" s="4" t="str" cm="1">
        <f t="array" ref="L917">_xlfn.IFS(K917&gt;=50, "Senior", K917&gt;=30, "Adult", K917&lt;30, "Young Adult")</f>
        <v>Young Adult</v>
      </c>
      <c r="M917" s="4" t="s">
        <v>10</v>
      </c>
      <c r="N917" s="4">
        <v>3</v>
      </c>
      <c r="O917" s="5">
        <v>30</v>
      </c>
      <c r="P917">
        <f>N917*O917</f>
        <v>90</v>
      </c>
      <c r="Q917">
        <f>(P917*$U$4)</f>
        <v>1.3499999999999999</v>
      </c>
    </row>
    <row r="918" spans="1:17">
      <c r="A918" s="2">
        <v>919</v>
      </c>
      <c r="B918" s="4">
        <f>YEAR(H918)</f>
        <v>2023</v>
      </c>
      <c r="C918" s="4">
        <f>MONTH(H918)</f>
        <v>9</v>
      </c>
      <c r="D918" s="4">
        <f>DAY(H918)</f>
        <v>9</v>
      </c>
      <c r="E918" s="4" t="str">
        <f>TEXT(H918,"dddd")</f>
        <v>Saturday</v>
      </c>
      <c r="F918" s="4" t="str">
        <f t="shared" si="15"/>
        <v>September</v>
      </c>
      <c r="G918" s="4"/>
      <c r="H918" s="3">
        <v>45178</v>
      </c>
      <c r="I918" s="4" t="s">
        <v>952</v>
      </c>
      <c r="J918" s="4" t="s">
        <v>29</v>
      </c>
      <c r="K918" s="4">
        <v>21</v>
      </c>
      <c r="L918" s="4" t="str" cm="1">
        <f t="array" ref="L918">_xlfn.IFS(K918&gt;=50, "Senior", K918&gt;=30, "Adult", K918&lt;30, "Young Adult")</f>
        <v>Young Adult</v>
      </c>
      <c r="M918" s="4" t="s">
        <v>3</v>
      </c>
      <c r="N918" s="4">
        <v>2</v>
      </c>
      <c r="O918" s="5">
        <v>25</v>
      </c>
      <c r="P918">
        <f>N918*O918</f>
        <v>50</v>
      </c>
      <c r="Q918">
        <f>(P918*$U$4)</f>
        <v>0.75</v>
      </c>
    </row>
    <row r="919" spans="1:17">
      <c r="A919" s="2">
        <v>920</v>
      </c>
      <c r="B919" s="4">
        <f>YEAR(H919)</f>
        <v>2023</v>
      </c>
      <c r="C919" s="4">
        <f>MONTH(H919)</f>
        <v>2</v>
      </c>
      <c r="D919" s="4">
        <f>DAY(H919)</f>
        <v>22</v>
      </c>
      <c r="E919" s="4" t="str">
        <f>TEXT(H919,"dddd")</f>
        <v>Wednesday</v>
      </c>
      <c r="F919" s="4" t="str">
        <f t="shared" si="15"/>
        <v>February</v>
      </c>
      <c r="G919" s="4"/>
      <c r="H919" s="3">
        <v>44979</v>
      </c>
      <c r="I919" s="4" t="s">
        <v>953</v>
      </c>
      <c r="J919" s="4" t="s">
        <v>29</v>
      </c>
      <c r="K919" s="4">
        <v>21</v>
      </c>
      <c r="L919" s="4" t="str" cm="1">
        <f t="array" ref="L919">_xlfn.IFS(K919&gt;=50, "Senior", K919&gt;=30, "Adult", K919&lt;30, "Young Adult")</f>
        <v>Young Adult</v>
      </c>
      <c r="M919" s="4" t="s">
        <v>3</v>
      </c>
      <c r="N919" s="4">
        <v>3</v>
      </c>
      <c r="O919" s="5">
        <v>25</v>
      </c>
      <c r="P919">
        <f>N919*O919</f>
        <v>75</v>
      </c>
      <c r="Q919">
        <f>(P919*$U$4)</f>
        <v>1.125</v>
      </c>
    </row>
    <row r="920" spans="1:17">
      <c r="A920" s="2">
        <v>921</v>
      </c>
      <c r="B920" s="4">
        <f>YEAR(H920)</f>
        <v>2023</v>
      </c>
      <c r="C920" s="4">
        <f>MONTH(H920)</f>
        <v>1</v>
      </c>
      <c r="D920" s="4">
        <f>DAY(H920)</f>
        <v>7</v>
      </c>
      <c r="E920" s="4" t="str">
        <f>TEXT(H920,"dddd")</f>
        <v>Saturday</v>
      </c>
      <c r="F920" s="4" t="str">
        <f t="shared" si="15"/>
        <v>January</v>
      </c>
      <c r="G920" s="4"/>
      <c r="H920" s="3">
        <v>44933</v>
      </c>
      <c r="I920" s="4" t="s">
        <v>954</v>
      </c>
      <c r="J920" s="4" t="s">
        <v>27</v>
      </c>
      <c r="K920" s="4">
        <v>21</v>
      </c>
      <c r="L920" s="4" t="str" cm="1">
        <f t="array" ref="L920">_xlfn.IFS(K920&gt;=50, "Senior", K920&gt;=30, "Adult", K920&lt;30, "Young Adult")</f>
        <v>Young Adult</v>
      </c>
      <c r="M920" s="4" t="s">
        <v>10</v>
      </c>
      <c r="N920" s="4">
        <v>3</v>
      </c>
      <c r="O920" s="5">
        <v>25</v>
      </c>
      <c r="P920">
        <f>N920*O920</f>
        <v>75</v>
      </c>
      <c r="Q920">
        <f>(P920*$U$4)</f>
        <v>1.125</v>
      </c>
    </row>
    <row r="921" spans="1:17">
      <c r="A921" s="2">
        <v>922</v>
      </c>
      <c r="B921" s="4">
        <f>YEAR(H921)</f>
        <v>2023</v>
      </c>
      <c r="C921" s="4">
        <f>MONTH(H921)</f>
        <v>10</v>
      </c>
      <c r="D921" s="4">
        <f>DAY(H921)</f>
        <v>21</v>
      </c>
      <c r="E921" s="4" t="str">
        <f>TEXT(H921,"dddd")</f>
        <v>Saturday</v>
      </c>
      <c r="F921" s="4" t="str">
        <f t="shared" si="15"/>
        <v>October</v>
      </c>
      <c r="G921" s="4"/>
      <c r="H921" s="3">
        <v>45220</v>
      </c>
      <c r="I921" s="4" t="s">
        <v>955</v>
      </c>
      <c r="J921" s="4" t="s">
        <v>27</v>
      </c>
      <c r="K921" s="4">
        <v>21</v>
      </c>
      <c r="L921" s="4" t="str" cm="1">
        <f t="array" ref="L921">_xlfn.IFS(K921&gt;=50, "Senior", K921&gt;=30, "Adult", K921&lt;30, "Young Adult")</f>
        <v>Young Adult</v>
      </c>
      <c r="M921" s="4" t="s">
        <v>10</v>
      </c>
      <c r="N921" s="4">
        <v>1</v>
      </c>
      <c r="O921" s="5">
        <v>50</v>
      </c>
      <c r="P921">
        <f>N921*O921</f>
        <v>50</v>
      </c>
      <c r="Q921">
        <f>(P921*$U$4)</f>
        <v>0.75</v>
      </c>
    </row>
    <row r="922" spans="1:17">
      <c r="A922" s="2">
        <v>923</v>
      </c>
      <c r="B922" s="4">
        <f>YEAR(H922)</f>
        <v>2023</v>
      </c>
      <c r="C922" s="4">
        <f>MONTH(H922)</f>
        <v>5</v>
      </c>
      <c r="D922" s="4">
        <f>DAY(H922)</f>
        <v>26</v>
      </c>
      <c r="E922" s="4" t="str">
        <f>TEXT(H922,"dddd")</f>
        <v>Friday</v>
      </c>
      <c r="F922" s="4" t="str">
        <f t="shared" si="15"/>
        <v>May</v>
      </c>
      <c r="G922" s="4"/>
      <c r="H922" s="3">
        <v>45072</v>
      </c>
      <c r="I922" s="4" t="s">
        <v>956</v>
      </c>
      <c r="J922" s="4" t="s">
        <v>27</v>
      </c>
      <c r="K922" s="4">
        <v>21</v>
      </c>
      <c r="L922" s="4" t="str" cm="1">
        <f t="array" ref="L922">_xlfn.IFS(K922&gt;=50, "Senior", K922&gt;=30, "Adult", K922&lt;30, "Young Adult")</f>
        <v>Young Adult</v>
      </c>
      <c r="M922" s="4" t="s">
        <v>3</v>
      </c>
      <c r="N922" s="4">
        <v>3</v>
      </c>
      <c r="O922" s="5">
        <v>300</v>
      </c>
      <c r="P922">
        <f>N922*O922</f>
        <v>900</v>
      </c>
      <c r="Q922">
        <f>(P922*$U$4)</f>
        <v>13.5</v>
      </c>
    </row>
    <row r="923" spans="1:17">
      <c r="A923" s="2">
        <v>924</v>
      </c>
      <c r="B923" s="4">
        <f>YEAR(H923)</f>
        <v>2023</v>
      </c>
      <c r="C923" s="4">
        <f>MONTH(H923)</f>
        <v>8</v>
      </c>
      <c r="D923" s="4">
        <f>DAY(H923)</f>
        <v>29</v>
      </c>
      <c r="E923" s="4" t="str">
        <f>TEXT(H923,"dddd")</f>
        <v>Tuesday</v>
      </c>
      <c r="F923" s="4" t="str">
        <f t="shared" si="15"/>
        <v>August</v>
      </c>
      <c r="G923" s="4"/>
      <c r="H923" s="3">
        <v>45167</v>
      </c>
      <c r="I923" s="4" t="s">
        <v>957</v>
      </c>
      <c r="J923" s="4" t="s">
        <v>27</v>
      </c>
      <c r="K923" s="4">
        <v>21</v>
      </c>
      <c r="L923" s="4" t="str" cm="1">
        <f t="array" ref="L923">_xlfn.IFS(K923&gt;=50, "Senior", K923&gt;=30, "Adult", K923&lt;30, "Young Adult")</f>
        <v>Young Adult</v>
      </c>
      <c r="M923" s="4" t="s">
        <v>3</v>
      </c>
      <c r="N923" s="4">
        <v>2</v>
      </c>
      <c r="O923" s="5">
        <v>50</v>
      </c>
      <c r="P923">
        <f>N923*O923</f>
        <v>100</v>
      </c>
      <c r="Q923">
        <f>(P923*$U$4)</f>
        <v>1.5</v>
      </c>
    </row>
    <row r="924" spans="1:17">
      <c r="A924" s="2">
        <v>925</v>
      </c>
      <c r="B924" s="4">
        <f>YEAR(H924)</f>
        <v>2023</v>
      </c>
      <c r="C924" s="4">
        <f>MONTH(H924)</f>
        <v>9</v>
      </c>
      <c r="D924" s="4">
        <f>DAY(H924)</f>
        <v>3</v>
      </c>
      <c r="E924" s="4" t="str">
        <f>TEXT(H924,"dddd")</f>
        <v>Sunday</v>
      </c>
      <c r="F924" s="4" t="str">
        <f t="shared" si="15"/>
        <v>September</v>
      </c>
      <c r="G924" s="4"/>
      <c r="H924" s="3">
        <v>45172</v>
      </c>
      <c r="I924" s="4" t="s">
        <v>958</v>
      </c>
      <c r="J924" s="4" t="s">
        <v>27</v>
      </c>
      <c r="K924" s="4">
        <v>21</v>
      </c>
      <c r="L924" s="4" t="str" cm="1">
        <f t="array" ref="L924">_xlfn.IFS(K924&gt;=50, "Senior", K924&gt;=30, "Adult", K924&lt;30, "Young Adult")</f>
        <v>Young Adult</v>
      </c>
      <c r="M924" s="4" t="s">
        <v>10</v>
      </c>
      <c r="N924" s="4">
        <v>1</v>
      </c>
      <c r="O924" s="5">
        <v>300</v>
      </c>
      <c r="P924">
        <f>N924*O924</f>
        <v>300</v>
      </c>
      <c r="Q924">
        <f>(P924*$U$4)</f>
        <v>4.5</v>
      </c>
    </row>
    <row r="925" spans="1:17">
      <c r="A925" s="2">
        <v>926</v>
      </c>
      <c r="B925" s="4">
        <f>YEAR(H925)</f>
        <v>2023</v>
      </c>
      <c r="C925" s="4">
        <f>MONTH(H925)</f>
        <v>8</v>
      </c>
      <c r="D925" s="4">
        <f>DAY(H925)</f>
        <v>14</v>
      </c>
      <c r="E925" s="4" t="str">
        <f>TEXT(H925,"dddd")</f>
        <v>Monday</v>
      </c>
      <c r="F925" s="4" t="str">
        <f t="shared" si="15"/>
        <v>August</v>
      </c>
      <c r="G925" s="4"/>
      <c r="H925" s="3">
        <v>45152</v>
      </c>
      <c r="I925" s="4" t="s">
        <v>959</v>
      </c>
      <c r="J925" s="4" t="s">
        <v>27</v>
      </c>
      <c r="K925" s="4">
        <v>21</v>
      </c>
      <c r="L925" s="4" t="str" cm="1">
        <f t="array" ref="L925">_xlfn.IFS(K925&gt;=50, "Senior", K925&gt;=30, "Adult", K925&lt;30, "Young Adult")</f>
        <v>Young Adult</v>
      </c>
      <c r="M925" s="4" t="s">
        <v>10</v>
      </c>
      <c r="N925" s="4">
        <v>1</v>
      </c>
      <c r="O925" s="5">
        <v>30</v>
      </c>
      <c r="P925">
        <f>N925*O925</f>
        <v>30</v>
      </c>
      <c r="Q925">
        <f>(P925*$U$4)</f>
        <v>0.44999999999999996</v>
      </c>
    </row>
    <row r="926" spans="1:17">
      <c r="A926" s="2">
        <v>927</v>
      </c>
      <c r="B926" s="4">
        <f>YEAR(H926)</f>
        <v>2023</v>
      </c>
      <c r="C926" s="4">
        <f>MONTH(H926)</f>
        <v>6</v>
      </c>
      <c r="D926" s="4">
        <f>DAY(H926)</f>
        <v>24</v>
      </c>
      <c r="E926" s="4" t="str">
        <f>TEXT(H926,"dddd")</f>
        <v>Saturday</v>
      </c>
      <c r="F926" s="4" t="str">
        <f t="shared" si="15"/>
        <v>June</v>
      </c>
      <c r="G926" s="4"/>
      <c r="H926" s="3">
        <v>45101</v>
      </c>
      <c r="I926" s="4" t="s">
        <v>960</v>
      </c>
      <c r="J926" s="4" t="s">
        <v>27</v>
      </c>
      <c r="K926" s="4">
        <v>21</v>
      </c>
      <c r="L926" s="4" t="str" cm="1">
        <f t="array" ref="L926">_xlfn.IFS(K926&gt;=50, "Senior", K926&gt;=30, "Adult", K926&lt;30, "Young Adult")</f>
        <v>Young Adult</v>
      </c>
      <c r="M926" s="4" t="s">
        <v>10</v>
      </c>
      <c r="N926" s="4">
        <v>4</v>
      </c>
      <c r="O926" s="5">
        <v>500</v>
      </c>
      <c r="P926">
        <f>N926*O926</f>
        <v>2000</v>
      </c>
      <c r="Q926">
        <f>(P926*$U$4)</f>
        <v>30</v>
      </c>
    </row>
    <row r="927" spans="1:17">
      <c r="A927" s="2">
        <v>928</v>
      </c>
      <c r="B927" s="4">
        <f>YEAR(H927)</f>
        <v>2023</v>
      </c>
      <c r="C927" s="4">
        <f>MONTH(H927)</f>
        <v>4</v>
      </c>
      <c r="D927" s="4">
        <f>DAY(H927)</f>
        <v>5</v>
      </c>
      <c r="E927" s="4" t="str">
        <f>TEXT(H927,"dddd")</f>
        <v>Wednesday</v>
      </c>
      <c r="F927" s="4" t="str">
        <f t="shared" si="15"/>
        <v>April</v>
      </c>
      <c r="G927" s="4"/>
      <c r="H927" s="3">
        <v>45021</v>
      </c>
      <c r="I927" s="4" t="s">
        <v>961</v>
      </c>
      <c r="J927" s="4" t="s">
        <v>29</v>
      </c>
      <c r="K927" s="4">
        <v>21</v>
      </c>
      <c r="L927" s="4" t="str" cm="1">
        <f t="array" ref="L927">_xlfn.IFS(K927&gt;=50, "Senior", K927&gt;=30, "Adult", K927&lt;30, "Young Adult")</f>
        <v>Young Adult</v>
      </c>
      <c r="M927" s="4" t="s">
        <v>8</v>
      </c>
      <c r="N927" s="4">
        <v>4</v>
      </c>
      <c r="O927" s="5">
        <v>300</v>
      </c>
      <c r="P927">
        <f>N927*O927</f>
        <v>1200</v>
      </c>
      <c r="Q927">
        <f>(P927*$U$4)</f>
        <v>18</v>
      </c>
    </row>
    <row r="928" spans="1:17">
      <c r="A928" s="2">
        <v>929</v>
      </c>
      <c r="B928" s="4">
        <f>YEAR(H928)</f>
        <v>2023</v>
      </c>
      <c r="C928" s="4">
        <f>MONTH(H928)</f>
        <v>1</v>
      </c>
      <c r="D928" s="4">
        <f>DAY(H928)</f>
        <v>27</v>
      </c>
      <c r="E928" s="4" t="str">
        <f>TEXT(H928,"dddd")</f>
        <v>Friday</v>
      </c>
      <c r="F928" s="4" t="str">
        <f t="shared" si="15"/>
        <v>January</v>
      </c>
      <c r="G928" s="4"/>
      <c r="H928" s="3">
        <v>44953</v>
      </c>
      <c r="I928" s="4" t="s">
        <v>962</v>
      </c>
      <c r="J928" s="4" t="s">
        <v>29</v>
      </c>
      <c r="K928" s="4">
        <v>21</v>
      </c>
      <c r="L928" s="4" t="str" cm="1">
        <f t="array" ref="L928">_xlfn.IFS(K928&gt;=50, "Senior", K928&gt;=30, "Adult", K928&lt;30, "Young Adult")</f>
        <v>Young Adult</v>
      </c>
      <c r="M928" s="4" t="s">
        <v>3</v>
      </c>
      <c r="N928" s="4">
        <v>3</v>
      </c>
      <c r="O928" s="5">
        <v>25</v>
      </c>
      <c r="P928">
        <f>N928*O928</f>
        <v>75</v>
      </c>
      <c r="Q928">
        <f>(P928*$U$4)</f>
        <v>1.125</v>
      </c>
    </row>
    <row r="929" spans="1:17">
      <c r="A929" s="2">
        <v>930</v>
      </c>
      <c r="B929" s="4">
        <f>YEAR(H929)</f>
        <v>2023</v>
      </c>
      <c r="C929" s="4">
        <f>MONTH(H929)</f>
        <v>5</v>
      </c>
      <c r="D929" s="4">
        <f>DAY(H929)</f>
        <v>10</v>
      </c>
      <c r="E929" s="4" t="str">
        <f>TEXT(H929,"dddd")</f>
        <v>Wednesday</v>
      </c>
      <c r="F929" s="4" t="str">
        <f t="shared" si="15"/>
        <v>May</v>
      </c>
      <c r="G929" s="4"/>
      <c r="H929" s="3">
        <v>45056</v>
      </c>
      <c r="I929" s="4" t="s">
        <v>963</v>
      </c>
      <c r="J929" s="4" t="s">
        <v>27</v>
      </c>
      <c r="K929" s="4">
        <v>21</v>
      </c>
      <c r="L929" s="4" t="str" cm="1">
        <f t="array" ref="L929">_xlfn.IFS(K929&gt;=50, "Senior", K929&gt;=30, "Adult", K929&lt;30, "Young Adult")</f>
        <v>Young Adult</v>
      </c>
      <c r="M929" s="4" t="s">
        <v>8</v>
      </c>
      <c r="N929" s="4">
        <v>4</v>
      </c>
      <c r="O929" s="5">
        <v>50</v>
      </c>
      <c r="P929">
        <f>N929*O929</f>
        <v>200</v>
      </c>
      <c r="Q929">
        <f>(P929*$U$4)</f>
        <v>3</v>
      </c>
    </row>
    <row r="930" spans="1:17">
      <c r="A930" s="2">
        <v>931</v>
      </c>
      <c r="B930" s="4">
        <f>YEAR(H930)</f>
        <v>2023</v>
      </c>
      <c r="C930" s="4">
        <f>MONTH(H930)</f>
        <v>9</v>
      </c>
      <c r="D930" s="4">
        <f>DAY(H930)</f>
        <v>2</v>
      </c>
      <c r="E930" s="4" t="str">
        <f>TEXT(H930,"dddd")</f>
        <v>Saturday</v>
      </c>
      <c r="F930" s="4" t="str">
        <f t="shared" si="15"/>
        <v>September</v>
      </c>
      <c r="G930" s="4"/>
      <c r="H930" s="3">
        <v>45171</v>
      </c>
      <c r="I930" s="4" t="s">
        <v>964</v>
      </c>
      <c r="J930" s="4" t="s">
        <v>27</v>
      </c>
      <c r="K930" s="4">
        <v>21</v>
      </c>
      <c r="L930" s="4" t="str" cm="1">
        <f t="array" ref="L930">_xlfn.IFS(K930&gt;=50, "Senior", K930&gt;=30, "Adult", K930&lt;30, "Young Adult")</f>
        <v>Young Adult</v>
      </c>
      <c r="M930" s="4" t="s">
        <v>3</v>
      </c>
      <c r="N930" s="4">
        <v>4</v>
      </c>
      <c r="O930" s="5">
        <v>30</v>
      </c>
      <c r="P930">
        <f>N930*O930</f>
        <v>120</v>
      </c>
      <c r="Q930">
        <f>(P930*$U$4)</f>
        <v>1.7999999999999998</v>
      </c>
    </row>
    <row r="931" spans="1:17">
      <c r="A931" s="2">
        <v>932</v>
      </c>
      <c r="B931" s="4">
        <f>YEAR(H931)</f>
        <v>2023</v>
      </c>
      <c r="C931" s="4">
        <f>MONTH(H931)</f>
        <v>2</v>
      </c>
      <c r="D931" s="4">
        <f>DAY(H931)</f>
        <v>28</v>
      </c>
      <c r="E931" s="4" t="str">
        <f>TEXT(H931,"dddd")</f>
        <v>Tuesday</v>
      </c>
      <c r="F931" s="4" t="str">
        <f t="shared" si="15"/>
        <v>February</v>
      </c>
      <c r="G931" s="4"/>
      <c r="H931" s="3">
        <v>44985</v>
      </c>
      <c r="I931" s="4" t="s">
        <v>965</v>
      </c>
      <c r="J931" s="4" t="s">
        <v>29</v>
      </c>
      <c r="K931" s="4">
        <v>21</v>
      </c>
      <c r="L931" s="4" t="str" cm="1">
        <f t="array" ref="L931">_xlfn.IFS(K931&gt;=50, "Senior", K931&gt;=30, "Adult", K931&lt;30, "Young Adult")</f>
        <v>Young Adult</v>
      </c>
      <c r="M931" s="4" t="s">
        <v>3</v>
      </c>
      <c r="N931" s="4">
        <v>4</v>
      </c>
      <c r="O931" s="5">
        <v>25</v>
      </c>
      <c r="P931">
        <f>N931*O931</f>
        <v>100</v>
      </c>
      <c r="Q931">
        <f>(P931*$U$4)</f>
        <v>1.5</v>
      </c>
    </row>
    <row r="932" spans="1:17">
      <c r="A932" s="2">
        <v>933</v>
      </c>
      <c r="B932" s="4">
        <f>YEAR(H932)</f>
        <v>2023</v>
      </c>
      <c r="C932" s="4">
        <f>MONTH(H932)</f>
        <v>2</v>
      </c>
      <c r="D932" s="4">
        <f>DAY(H932)</f>
        <v>3</v>
      </c>
      <c r="E932" s="4" t="str">
        <f>TEXT(H932,"dddd")</f>
        <v>Friday</v>
      </c>
      <c r="F932" s="4" t="str">
        <f t="shared" si="15"/>
        <v>February</v>
      </c>
      <c r="G932" s="4"/>
      <c r="H932" s="3">
        <v>44960</v>
      </c>
      <c r="I932" s="4" t="s">
        <v>966</v>
      </c>
      <c r="J932" s="4" t="s">
        <v>27</v>
      </c>
      <c r="K932" s="4">
        <v>21</v>
      </c>
      <c r="L932" s="4" t="str" cm="1">
        <f t="array" ref="L932">_xlfn.IFS(K932&gt;=50, "Senior", K932&gt;=30, "Adult", K932&lt;30, "Young Adult")</f>
        <v>Young Adult</v>
      </c>
      <c r="M932" s="4" t="s">
        <v>3</v>
      </c>
      <c r="N932" s="4">
        <v>1</v>
      </c>
      <c r="O932" s="5">
        <v>30</v>
      </c>
      <c r="P932">
        <f>N932*O932</f>
        <v>30</v>
      </c>
      <c r="Q932">
        <f>(P932*$U$4)</f>
        <v>0.44999999999999996</v>
      </c>
    </row>
    <row r="933" spans="1:17">
      <c r="A933" s="2">
        <v>934</v>
      </c>
      <c r="B933" s="4">
        <f>YEAR(H933)</f>
        <v>2023</v>
      </c>
      <c r="C933" s="4">
        <f>MONTH(H933)</f>
        <v>7</v>
      </c>
      <c r="D933" s="4">
        <f>DAY(H933)</f>
        <v>25</v>
      </c>
      <c r="E933" s="4" t="str">
        <f>TEXT(H933,"dddd")</f>
        <v>Tuesday</v>
      </c>
      <c r="F933" s="4" t="str">
        <f t="shared" si="15"/>
        <v>July</v>
      </c>
      <c r="G933" s="4"/>
      <c r="H933" s="3">
        <v>45132</v>
      </c>
      <c r="I933" s="4" t="s">
        <v>967</v>
      </c>
      <c r="J933" s="4" t="s">
        <v>27</v>
      </c>
      <c r="K933" s="4">
        <v>21</v>
      </c>
      <c r="L933" s="4" t="str" cm="1">
        <f t="array" ref="L933">_xlfn.IFS(K933&gt;=50, "Senior", K933&gt;=30, "Adult", K933&lt;30, "Young Adult")</f>
        <v>Young Adult</v>
      </c>
      <c r="M933" s="4" t="s">
        <v>3</v>
      </c>
      <c r="N933" s="4">
        <v>1</v>
      </c>
      <c r="O933" s="5">
        <v>500</v>
      </c>
      <c r="P933">
        <f>N933*O933</f>
        <v>500</v>
      </c>
      <c r="Q933">
        <f>(P933*$U$4)</f>
        <v>7.5</v>
      </c>
    </row>
    <row r="934" spans="1:17">
      <c r="A934" s="2">
        <v>935</v>
      </c>
      <c r="B934" s="4">
        <f>YEAR(H934)</f>
        <v>2023</v>
      </c>
      <c r="C934" s="4">
        <f>MONTH(H934)</f>
        <v>9</v>
      </c>
      <c r="D934" s="4">
        <f>DAY(H934)</f>
        <v>9</v>
      </c>
      <c r="E934" s="4" t="str">
        <f>TEXT(H934,"dddd")</f>
        <v>Saturday</v>
      </c>
      <c r="F934" s="4" t="str">
        <f t="shared" si="15"/>
        <v>September</v>
      </c>
      <c r="G934" s="4"/>
      <c r="H934" s="3">
        <v>45178</v>
      </c>
      <c r="I934" s="4" t="s">
        <v>968</v>
      </c>
      <c r="J934" s="4" t="s">
        <v>29</v>
      </c>
      <c r="K934" s="4">
        <v>21</v>
      </c>
      <c r="L934" s="4" t="str" cm="1">
        <f t="array" ref="L934">_xlfn.IFS(K934&gt;=50, "Senior", K934&gt;=30, "Adult", K934&lt;30, "Young Adult")</f>
        <v>Young Adult</v>
      </c>
      <c r="M934" s="4" t="s">
        <v>3</v>
      </c>
      <c r="N934" s="4">
        <v>1</v>
      </c>
      <c r="O934" s="5">
        <v>50</v>
      </c>
      <c r="P934">
        <f>N934*O934</f>
        <v>50</v>
      </c>
      <c r="Q934">
        <f>(P934*$U$4)</f>
        <v>0.75</v>
      </c>
    </row>
    <row r="935" spans="1:17">
      <c r="A935" s="2">
        <v>936</v>
      </c>
      <c r="B935" s="4">
        <f>YEAR(H935)</f>
        <v>2023</v>
      </c>
      <c r="C935" s="4">
        <f>MONTH(H935)</f>
        <v>2</v>
      </c>
      <c r="D935" s="4">
        <f>DAY(H935)</f>
        <v>7</v>
      </c>
      <c r="E935" s="4" t="str">
        <f>TEXT(H935,"dddd")</f>
        <v>Tuesday</v>
      </c>
      <c r="F935" s="4" t="str">
        <f t="shared" si="15"/>
        <v>February</v>
      </c>
      <c r="G935" s="4"/>
      <c r="H935" s="3">
        <v>44964</v>
      </c>
      <c r="I935" s="4" t="s">
        <v>969</v>
      </c>
      <c r="J935" s="4" t="s">
        <v>27</v>
      </c>
      <c r="K935" s="4">
        <v>21</v>
      </c>
      <c r="L935" s="4" t="str" cm="1">
        <f t="array" ref="L935">_xlfn.IFS(K935&gt;=50, "Senior", K935&gt;=30, "Adult", K935&lt;30, "Young Adult")</f>
        <v>Young Adult</v>
      </c>
      <c r="M935" s="4" t="s">
        <v>3</v>
      </c>
      <c r="N935" s="4">
        <v>4</v>
      </c>
      <c r="O935" s="5">
        <v>50</v>
      </c>
      <c r="P935">
        <f>N935*O935</f>
        <v>200</v>
      </c>
      <c r="Q935">
        <f>(P935*$U$4)</f>
        <v>3</v>
      </c>
    </row>
    <row r="936" spans="1:17">
      <c r="A936" s="2">
        <v>937</v>
      </c>
      <c r="B936" s="4">
        <f>YEAR(H936)</f>
        <v>2023</v>
      </c>
      <c r="C936" s="4">
        <f>MONTH(H936)</f>
        <v>10</v>
      </c>
      <c r="D936" s="4">
        <f>DAY(H936)</f>
        <v>23</v>
      </c>
      <c r="E936" s="4" t="str">
        <f>TEXT(H936,"dddd")</f>
        <v>Monday</v>
      </c>
      <c r="F936" s="4" t="str">
        <f t="shared" si="15"/>
        <v>October</v>
      </c>
      <c r="G936" s="4"/>
      <c r="H936" s="3">
        <v>45222</v>
      </c>
      <c r="I936" s="4" t="s">
        <v>970</v>
      </c>
      <c r="J936" s="4" t="s">
        <v>29</v>
      </c>
      <c r="K936" s="4">
        <v>21</v>
      </c>
      <c r="L936" s="4" t="str" cm="1">
        <f t="array" ref="L936">_xlfn.IFS(K936&gt;=50, "Senior", K936&gt;=30, "Adult", K936&lt;30, "Young Adult")</f>
        <v>Young Adult</v>
      </c>
      <c r="M936" s="4" t="s">
        <v>3</v>
      </c>
      <c r="N936" s="4">
        <v>1</v>
      </c>
      <c r="O936" s="5">
        <v>500</v>
      </c>
      <c r="P936">
        <f>N936*O936</f>
        <v>500</v>
      </c>
      <c r="Q936">
        <f>(P936*$U$4)</f>
        <v>7.5</v>
      </c>
    </row>
    <row r="937" spans="1:17">
      <c r="A937" s="2">
        <v>938</v>
      </c>
      <c r="B937" s="4">
        <f>YEAR(H937)</f>
        <v>2023</v>
      </c>
      <c r="C937" s="4">
        <f>MONTH(H937)</f>
        <v>11</v>
      </c>
      <c r="D937" s="4">
        <f>DAY(H937)</f>
        <v>19</v>
      </c>
      <c r="E937" s="4" t="str">
        <f>TEXT(H937,"dddd")</f>
        <v>Sunday</v>
      </c>
      <c r="F937" s="4" t="str">
        <f t="shared" si="15"/>
        <v>November</v>
      </c>
      <c r="G937" s="4"/>
      <c r="H937" s="3">
        <v>45249</v>
      </c>
      <c r="I937" s="4" t="s">
        <v>971</v>
      </c>
      <c r="J937" s="4" t="s">
        <v>27</v>
      </c>
      <c r="K937" s="4">
        <v>20</v>
      </c>
      <c r="L937" s="4" t="str" cm="1">
        <f t="array" ref="L937">_xlfn.IFS(K937&gt;=50, "Senior", K937&gt;=30, "Adult", K937&lt;30, "Young Adult")</f>
        <v>Young Adult</v>
      </c>
      <c r="M937" s="4" t="s">
        <v>8</v>
      </c>
      <c r="N937" s="4">
        <v>4</v>
      </c>
      <c r="O937" s="5">
        <v>50</v>
      </c>
      <c r="P937">
        <f>N937*O937</f>
        <v>200</v>
      </c>
      <c r="Q937">
        <f>(P937*$U$4)</f>
        <v>3</v>
      </c>
    </row>
    <row r="938" spans="1:17">
      <c r="A938" s="2">
        <v>939</v>
      </c>
      <c r="B938" s="4">
        <f>YEAR(H938)</f>
        <v>2023</v>
      </c>
      <c r="C938" s="4">
        <f>MONTH(H938)</f>
        <v>12</v>
      </c>
      <c r="D938" s="4">
        <f>DAY(H938)</f>
        <v>18</v>
      </c>
      <c r="E938" s="4" t="str">
        <f>TEXT(H938,"dddd")</f>
        <v>Monday</v>
      </c>
      <c r="F938" s="4" t="str">
        <f t="shared" si="15"/>
        <v>December</v>
      </c>
      <c r="G938" s="4"/>
      <c r="H938" s="3">
        <v>45278</v>
      </c>
      <c r="I938" s="4" t="s">
        <v>972</v>
      </c>
      <c r="J938" s="4" t="s">
        <v>29</v>
      </c>
      <c r="K938" s="4">
        <v>20</v>
      </c>
      <c r="L938" s="4" t="str" cm="1">
        <f t="array" ref="L938">_xlfn.IFS(K938&gt;=50, "Senior", K938&gt;=30, "Adult", K938&lt;30, "Young Adult")</f>
        <v>Young Adult</v>
      </c>
      <c r="M938" s="4" t="s">
        <v>10</v>
      </c>
      <c r="N938" s="4">
        <v>1</v>
      </c>
      <c r="O938" s="5">
        <v>300</v>
      </c>
      <c r="P938">
        <f>N938*O938</f>
        <v>300</v>
      </c>
      <c r="Q938">
        <f>(P938*$U$4)</f>
        <v>4.5</v>
      </c>
    </row>
    <row r="939" spans="1:17">
      <c r="A939" s="2">
        <v>940</v>
      </c>
      <c r="B939" s="4">
        <f>YEAR(H939)</f>
        <v>2023</v>
      </c>
      <c r="C939" s="4">
        <f>MONTH(H939)</f>
        <v>1</v>
      </c>
      <c r="D939" s="4">
        <f>DAY(H939)</f>
        <v>28</v>
      </c>
      <c r="E939" s="4" t="str">
        <f>TEXT(H939,"dddd")</f>
        <v>Saturday</v>
      </c>
      <c r="F939" s="4" t="str">
        <f t="shared" si="15"/>
        <v>January</v>
      </c>
      <c r="G939" s="4"/>
      <c r="H939" s="3">
        <v>44954</v>
      </c>
      <c r="I939" s="4" t="s">
        <v>973</v>
      </c>
      <c r="J939" s="4" t="s">
        <v>29</v>
      </c>
      <c r="K939" s="4">
        <v>20</v>
      </c>
      <c r="L939" s="4" t="str" cm="1">
        <f t="array" ref="L939">_xlfn.IFS(K939&gt;=50, "Senior", K939&gt;=30, "Adult", K939&lt;30, "Young Adult")</f>
        <v>Young Adult</v>
      </c>
      <c r="M939" s="4" t="s">
        <v>10</v>
      </c>
      <c r="N939" s="4">
        <v>1</v>
      </c>
      <c r="O939" s="5">
        <v>30</v>
      </c>
      <c r="P939">
        <f>N939*O939</f>
        <v>30</v>
      </c>
      <c r="Q939">
        <f>(P939*$U$4)</f>
        <v>0.44999999999999996</v>
      </c>
    </row>
    <row r="940" spans="1:17">
      <c r="A940" s="2">
        <v>941</v>
      </c>
      <c r="B940" s="4">
        <f>YEAR(H940)</f>
        <v>2023</v>
      </c>
      <c r="C940" s="4">
        <f>MONTH(H940)</f>
        <v>3</v>
      </c>
      <c r="D940" s="4">
        <f>DAY(H940)</f>
        <v>19</v>
      </c>
      <c r="E940" s="4" t="str">
        <f>TEXT(H940,"dddd")</f>
        <v>Sunday</v>
      </c>
      <c r="F940" s="4" t="str">
        <f t="shared" si="15"/>
        <v>March</v>
      </c>
      <c r="G940" s="4"/>
      <c r="H940" s="3">
        <v>45004</v>
      </c>
      <c r="I940" s="4" t="s">
        <v>974</v>
      </c>
      <c r="J940" s="4" t="s">
        <v>29</v>
      </c>
      <c r="K940" s="4">
        <v>20</v>
      </c>
      <c r="L940" s="4" t="str" cm="1">
        <f t="array" ref="L940">_xlfn.IFS(K940&gt;=50, "Senior", K940&gt;=30, "Adult", K940&lt;30, "Young Adult")</f>
        <v>Young Adult</v>
      </c>
      <c r="M940" s="4" t="s">
        <v>8</v>
      </c>
      <c r="N940" s="4">
        <v>2</v>
      </c>
      <c r="O940" s="5">
        <v>25</v>
      </c>
      <c r="P940">
        <f>N940*O940</f>
        <v>50</v>
      </c>
      <c r="Q940">
        <f>(P940*$U$4)</f>
        <v>0.75</v>
      </c>
    </row>
    <row r="941" spans="1:17">
      <c r="A941" s="2">
        <v>942</v>
      </c>
      <c r="B941" s="4">
        <f>YEAR(H941)</f>
        <v>2023</v>
      </c>
      <c r="C941" s="4">
        <f>MONTH(H941)</f>
        <v>3</v>
      </c>
      <c r="D941" s="4">
        <f>DAY(H941)</f>
        <v>18</v>
      </c>
      <c r="E941" s="4" t="str">
        <f>TEXT(H941,"dddd")</f>
        <v>Saturday</v>
      </c>
      <c r="F941" s="4" t="str">
        <f t="shared" si="15"/>
        <v>March</v>
      </c>
      <c r="G941" s="4"/>
      <c r="H941" s="3">
        <v>45003</v>
      </c>
      <c r="I941" s="4" t="s">
        <v>975</v>
      </c>
      <c r="J941" s="4" t="s">
        <v>27</v>
      </c>
      <c r="K941" s="4">
        <v>20</v>
      </c>
      <c r="L941" s="4" t="str" cm="1">
        <f t="array" ref="L941">_xlfn.IFS(K941&gt;=50, "Senior", K941&gt;=30, "Adult", K941&lt;30, "Young Adult")</f>
        <v>Young Adult</v>
      </c>
      <c r="M941" s="4" t="s">
        <v>8</v>
      </c>
      <c r="N941" s="4">
        <v>3</v>
      </c>
      <c r="O941" s="5">
        <v>500</v>
      </c>
      <c r="P941">
        <f>N941*O941</f>
        <v>1500</v>
      </c>
      <c r="Q941">
        <f>(P941*$U$4)</f>
        <v>22.5</v>
      </c>
    </row>
    <row r="942" spans="1:17">
      <c r="A942" s="2">
        <v>943</v>
      </c>
      <c r="B942" s="4">
        <f>YEAR(H942)</f>
        <v>2023</v>
      </c>
      <c r="C942" s="4">
        <f>MONTH(H942)</f>
        <v>10</v>
      </c>
      <c r="D942" s="4">
        <f>DAY(H942)</f>
        <v>16</v>
      </c>
      <c r="E942" s="4" t="str">
        <f>TEXT(H942,"dddd")</f>
        <v>Monday</v>
      </c>
      <c r="F942" s="4" t="str">
        <f t="shared" si="15"/>
        <v>October</v>
      </c>
      <c r="G942" s="4"/>
      <c r="H942" s="3">
        <v>45215</v>
      </c>
      <c r="I942" s="4" t="s">
        <v>976</v>
      </c>
      <c r="J942" s="4" t="s">
        <v>29</v>
      </c>
      <c r="K942" s="4">
        <v>20</v>
      </c>
      <c r="L942" s="4" t="str" cm="1">
        <f t="array" ref="L942">_xlfn.IFS(K942&gt;=50, "Senior", K942&gt;=30, "Adult", K942&lt;30, "Young Adult")</f>
        <v>Young Adult</v>
      </c>
      <c r="M942" s="4" t="s">
        <v>8</v>
      </c>
      <c r="N942" s="4">
        <v>4</v>
      </c>
      <c r="O942" s="5">
        <v>300</v>
      </c>
      <c r="P942">
        <f>N942*O942</f>
        <v>1200</v>
      </c>
      <c r="Q942">
        <f>(P942*$U$4)</f>
        <v>18</v>
      </c>
    </row>
    <row r="943" spans="1:17">
      <c r="A943" s="2">
        <v>944</v>
      </c>
      <c r="B943" s="4">
        <f>YEAR(H943)</f>
        <v>2023</v>
      </c>
      <c r="C943" s="4">
        <f>MONTH(H943)</f>
        <v>6</v>
      </c>
      <c r="D943" s="4">
        <f>DAY(H943)</f>
        <v>5</v>
      </c>
      <c r="E943" s="4" t="str">
        <f>TEXT(H943,"dddd")</f>
        <v>Monday</v>
      </c>
      <c r="F943" s="4" t="str">
        <f t="shared" si="15"/>
        <v>June</v>
      </c>
      <c r="G943" s="4"/>
      <c r="H943" s="3">
        <v>45082</v>
      </c>
      <c r="I943" s="4" t="s">
        <v>977</v>
      </c>
      <c r="J943" s="4" t="s">
        <v>27</v>
      </c>
      <c r="K943" s="4">
        <v>20</v>
      </c>
      <c r="L943" s="4" t="str" cm="1">
        <f t="array" ref="L943">_xlfn.IFS(K943&gt;=50, "Senior", K943&gt;=30, "Adult", K943&lt;30, "Young Adult")</f>
        <v>Young Adult</v>
      </c>
      <c r="M943" s="4" t="s">
        <v>8</v>
      </c>
      <c r="N943" s="4">
        <v>2</v>
      </c>
      <c r="O943" s="5">
        <v>25</v>
      </c>
      <c r="P943">
        <f>N943*O943</f>
        <v>50</v>
      </c>
      <c r="Q943">
        <f>(P943*$U$4)</f>
        <v>0.75</v>
      </c>
    </row>
    <row r="944" spans="1:17">
      <c r="A944" s="2">
        <v>945</v>
      </c>
      <c r="B944" s="4">
        <f>YEAR(H944)</f>
        <v>2023</v>
      </c>
      <c r="C944" s="4">
        <f>MONTH(H944)</f>
        <v>2</v>
      </c>
      <c r="D944" s="4">
        <f>DAY(H944)</f>
        <v>13</v>
      </c>
      <c r="E944" s="4" t="str">
        <f>TEXT(H944,"dddd")</f>
        <v>Monday</v>
      </c>
      <c r="F944" s="4" t="str">
        <f t="shared" si="15"/>
        <v>February</v>
      </c>
      <c r="G944" s="4"/>
      <c r="H944" s="3">
        <v>44970</v>
      </c>
      <c r="I944" s="4" t="s">
        <v>978</v>
      </c>
      <c r="J944" s="4" t="s">
        <v>27</v>
      </c>
      <c r="K944" s="4">
        <v>20</v>
      </c>
      <c r="L944" s="4" t="str" cm="1">
        <f t="array" ref="L944">_xlfn.IFS(K944&gt;=50, "Senior", K944&gt;=30, "Adult", K944&lt;30, "Young Adult")</f>
        <v>Young Adult</v>
      </c>
      <c r="M944" s="4" t="s">
        <v>3</v>
      </c>
      <c r="N944" s="4">
        <v>1</v>
      </c>
      <c r="O944" s="5">
        <v>25</v>
      </c>
      <c r="P944">
        <f>N944*O944</f>
        <v>25</v>
      </c>
      <c r="Q944">
        <f>(P944*$U$4)</f>
        <v>0.375</v>
      </c>
    </row>
    <row r="945" spans="1:17">
      <c r="A945" s="2">
        <v>946</v>
      </c>
      <c r="B945" s="4">
        <f>YEAR(H945)</f>
        <v>2023</v>
      </c>
      <c r="C945" s="4">
        <f>MONTH(H945)</f>
        <v>5</v>
      </c>
      <c r="D945" s="4">
        <f>DAY(H945)</f>
        <v>8</v>
      </c>
      <c r="E945" s="4" t="str">
        <f>TEXT(H945,"dddd")</f>
        <v>Monday</v>
      </c>
      <c r="F945" s="4" t="str">
        <f t="shared" si="15"/>
        <v>May</v>
      </c>
      <c r="G945" s="4"/>
      <c r="H945" s="3">
        <v>45054</v>
      </c>
      <c r="I945" s="4" t="s">
        <v>979</v>
      </c>
      <c r="J945" s="4" t="s">
        <v>27</v>
      </c>
      <c r="K945" s="4">
        <v>20</v>
      </c>
      <c r="L945" s="4" t="str" cm="1">
        <f t="array" ref="L945">_xlfn.IFS(K945&gt;=50, "Senior", K945&gt;=30, "Adult", K945&lt;30, "Young Adult")</f>
        <v>Young Adult</v>
      </c>
      <c r="M945" s="4" t="s">
        <v>10</v>
      </c>
      <c r="N945" s="4">
        <v>4</v>
      </c>
      <c r="O945" s="5">
        <v>500</v>
      </c>
      <c r="P945">
        <f>N945*O945</f>
        <v>2000</v>
      </c>
      <c r="Q945">
        <f>(P945*$U$4)</f>
        <v>30</v>
      </c>
    </row>
    <row r="946" spans="1:17">
      <c r="A946" s="2">
        <v>947</v>
      </c>
      <c r="B946" s="4">
        <f>YEAR(H946)</f>
        <v>2023</v>
      </c>
      <c r="C946" s="4">
        <f>MONTH(H946)</f>
        <v>3</v>
      </c>
      <c r="D946" s="4">
        <f>DAY(H946)</f>
        <v>2</v>
      </c>
      <c r="E946" s="4" t="str">
        <f>TEXT(H946,"dddd")</f>
        <v>Thursday</v>
      </c>
      <c r="F946" s="4" t="str">
        <f t="shared" si="15"/>
        <v>March</v>
      </c>
      <c r="G946" s="4"/>
      <c r="H946" s="3">
        <v>44987</v>
      </c>
      <c r="I946" s="4" t="s">
        <v>980</v>
      </c>
      <c r="J946" s="4" t="s">
        <v>27</v>
      </c>
      <c r="K946" s="4">
        <v>20</v>
      </c>
      <c r="L946" s="4" t="str" cm="1">
        <f t="array" ref="L946">_xlfn.IFS(K946&gt;=50, "Senior", K946&gt;=30, "Adult", K946&lt;30, "Young Adult")</f>
        <v>Young Adult</v>
      </c>
      <c r="M946" s="4" t="s">
        <v>3</v>
      </c>
      <c r="N946" s="4">
        <v>1</v>
      </c>
      <c r="O946" s="5">
        <v>300</v>
      </c>
      <c r="P946">
        <f>N946*O946</f>
        <v>300</v>
      </c>
      <c r="Q946">
        <f>(P946*$U$4)</f>
        <v>4.5</v>
      </c>
    </row>
    <row r="947" spans="1:17">
      <c r="A947" s="2">
        <v>948</v>
      </c>
      <c r="B947" s="4">
        <f>YEAR(H947)</f>
        <v>2023</v>
      </c>
      <c r="C947" s="4">
        <f>MONTH(H947)</f>
        <v>10</v>
      </c>
      <c r="D947" s="4">
        <f>DAY(H947)</f>
        <v>13</v>
      </c>
      <c r="E947" s="4" t="str">
        <f>TEXT(H947,"dddd")</f>
        <v>Friday</v>
      </c>
      <c r="F947" s="4" t="str">
        <f t="shared" si="15"/>
        <v>October</v>
      </c>
      <c r="G947" s="4"/>
      <c r="H947" s="3">
        <v>45212</v>
      </c>
      <c r="I947" s="4" t="s">
        <v>981</v>
      </c>
      <c r="J947" s="4" t="s">
        <v>29</v>
      </c>
      <c r="K947" s="4">
        <v>20</v>
      </c>
      <c r="L947" s="4" t="str" cm="1">
        <f t="array" ref="L947">_xlfn.IFS(K947&gt;=50, "Senior", K947&gt;=30, "Adult", K947&lt;30, "Young Adult")</f>
        <v>Young Adult</v>
      </c>
      <c r="M947" s="4" t="s">
        <v>10</v>
      </c>
      <c r="N947" s="4">
        <v>3</v>
      </c>
      <c r="O947" s="5">
        <v>25</v>
      </c>
      <c r="P947">
        <f>N947*O947</f>
        <v>75</v>
      </c>
      <c r="Q947">
        <f>(P947*$U$4)</f>
        <v>1.125</v>
      </c>
    </row>
    <row r="948" spans="1:17">
      <c r="A948" s="2">
        <v>949</v>
      </c>
      <c r="B948" s="4">
        <f>YEAR(H948)</f>
        <v>2023</v>
      </c>
      <c r="C948" s="4">
        <f>MONTH(H948)</f>
        <v>8</v>
      </c>
      <c r="D948" s="4">
        <f>DAY(H948)</f>
        <v>2</v>
      </c>
      <c r="E948" s="4" t="str">
        <f>TEXT(H948,"dddd")</f>
        <v>Wednesday</v>
      </c>
      <c r="F948" s="4" t="str">
        <f t="shared" si="15"/>
        <v>August</v>
      </c>
      <c r="G948" s="4"/>
      <c r="H948" s="3">
        <v>45140</v>
      </c>
      <c r="I948" s="4" t="s">
        <v>982</v>
      </c>
      <c r="J948" s="4" t="s">
        <v>29</v>
      </c>
      <c r="K948" s="4">
        <v>20</v>
      </c>
      <c r="L948" s="4" t="str" cm="1">
        <f t="array" ref="L948">_xlfn.IFS(K948&gt;=50, "Senior", K948&gt;=30, "Adult", K948&lt;30, "Young Adult")</f>
        <v>Young Adult</v>
      </c>
      <c r="M948" s="4" t="s">
        <v>10</v>
      </c>
      <c r="N948" s="4">
        <v>2</v>
      </c>
      <c r="O948" s="5">
        <v>25</v>
      </c>
      <c r="P948">
        <f>N948*O948</f>
        <v>50</v>
      </c>
      <c r="Q948">
        <f>(P948*$U$4)</f>
        <v>0.75</v>
      </c>
    </row>
    <row r="949" spans="1:17">
      <c r="A949" s="2">
        <v>950</v>
      </c>
      <c r="B949" s="4">
        <f>YEAR(H949)</f>
        <v>2023</v>
      </c>
      <c r="C949" s="4">
        <f>MONTH(H949)</f>
        <v>11</v>
      </c>
      <c r="D949" s="4">
        <f>DAY(H949)</f>
        <v>7</v>
      </c>
      <c r="E949" s="4" t="str">
        <f>TEXT(H949,"dddd")</f>
        <v>Tuesday</v>
      </c>
      <c r="F949" s="4" t="str">
        <f t="shared" si="15"/>
        <v>November</v>
      </c>
      <c r="G949" s="4"/>
      <c r="H949" s="3">
        <v>45237</v>
      </c>
      <c r="I949" s="4" t="s">
        <v>983</v>
      </c>
      <c r="J949" s="4" t="s">
        <v>27</v>
      </c>
      <c r="K949" s="4">
        <v>20</v>
      </c>
      <c r="L949" s="4" t="str" cm="1">
        <f t="array" ref="L949">_xlfn.IFS(K949&gt;=50, "Senior", K949&gt;=30, "Adult", K949&lt;30, "Young Adult")</f>
        <v>Young Adult</v>
      </c>
      <c r="M949" s="4" t="s">
        <v>8</v>
      </c>
      <c r="N949" s="4">
        <v>3</v>
      </c>
      <c r="O949" s="5">
        <v>300</v>
      </c>
      <c r="P949">
        <f>N949*O949</f>
        <v>900</v>
      </c>
      <c r="Q949">
        <f>(P949*$U$4)</f>
        <v>13.5</v>
      </c>
    </row>
    <row r="950" spans="1:17">
      <c r="A950" s="2">
        <v>951</v>
      </c>
      <c r="B950" s="4">
        <f>YEAR(H950)</f>
        <v>2023</v>
      </c>
      <c r="C950" s="4">
        <f>MONTH(H950)</f>
        <v>11</v>
      </c>
      <c r="D950" s="4">
        <f>DAY(H950)</f>
        <v>2</v>
      </c>
      <c r="E950" s="4" t="str">
        <f>TEXT(H950,"dddd")</f>
        <v>Thursday</v>
      </c>
      <c r="F950" s="4" t="str">
        <f t="shared" si="15"/>
        <v>November</v>
      </c>
      <c r="G950" s="4"/>
      <c r="H950" s="3">
        <v>45232</v>
      </c>
      <c r="I950" s="4" t="s">
        <v>984</v>
      </c>
      <c r="J950" s="4" t="s">
        <v>27</v>
      </c>
      <c r="K950" s="4">
        <v>20</v>
      </c>
      <c r="L950" s="4" t="str" cm="1">
        <f t="array" ref="L950">_xlfn.IFS(K950&gt;=50, "Senior", K950&gt;=30, "Adult", K950&lt;30, "Young Adult")</f>
        <v>Young Adult</v>
      </c>
      <c r="M950" s="4" t="s">
        <v>3</v>
      </c>
      <c r="N950" s="4">
        <v>2</v>
      </c>
      <c r="O950" s="5">
        <v>50</v>
      </c>
      <c r="P950">
        <f>N950*O950</f>
        <v>100</v>
      </c>
      <c r="Q950">
        <f>(P950*$U$4)</f>
        <v>1.5</v>
      </c>
    </row>
    <row r="951" spans="1:17">
      <c r="A951" s="2">
        <v>952</v>
      </c>
      <c r="B951" s="4">
        <f>YEAR(H951)</f>
        <v>2023</v>
      </c>
      <c r="C951" s="4">
        <f>MONTH(H951)</f>
        <v>11</v>
      </c>
      <c r="D951" s="4">
        <f>DAY(H951)</f>
        <v>13</v>
      </c>
      <c r="E951" s="4" t="str">
        <f>TEXT(H951,"dddd")</f>
        <v>Monday</v>
      </c>
      <c r="F951" s="4" t="str">
        <f t="shared" si="15"/>
        <v>November</v>
      </c>
      <c r="G951" s="4"/>
      <c r="H951" s="3">
        <v>45243</v>
      </c>
      <c r="I951" s="4" t="s">
        <v>985</v>
      </c>
      <c r="J951" s="4" t="s">
        <v>29</v>
      </c>
      <c r="K951" s="4">
        <v>20</v>
      </c>
      <c r="L951" s="4" t="str" cm="1">
        <f t="array" ref="L951">_xlfn.IFS(K951&gt;=50, "Senior", K951&gt;=30, "Adult", K951&lt;30, "Young Adult")</f>
        <v>Young Adult</v>
      </c>
      <c r="M951" s="4" t="s">
        <v>8</v>
      </c>
      <c r="N951" s="4">
        <v>1</v>
      </c>
      <c r="O951" s="5">
        <v>25</v>
      </c>
      <c r="P951">
        <f>N951*O951</f>
        <v>25</v>
      </c>
      <c r="Q951">
        <f>(P951*$U$4)</f>
        <v>0.375</v>
      </c>
    </row>
    <row r="952" spans="1:17">
      <c r="A952" s="2">
        <v>953</v>
      </c>
      <c r="B952" s="4">
        <f>YEAR(H952)</f>
        <v>2023</v>
      </c>
      <c r="C952" s="4">
        <f>MONTH(H952)</f>
        <v>4</v>
      </c>
      <c r="D952" s="4">
        <f>DAY(H952)</f>
        <v>26</v>
      </c>
      <c r="E952" s="4" t="str">
        <f>TEXT(H952,"dddd")</f>
        <v>Wednesday</v>
      </c>
      <c r="F952" s="4" t="str">
        <f t="shared" si="15"/>
        <v>April</v>
      </c>
      <c r="G952" s="4"/>
      <c r="H952" s="3">
        <v>45042</v>
      </c>
      <c r="I952" s="4" t="s">
        <v>986</v>
      </c>
      <c r="J952" s="4" t="s">
        <v>27</v>
      </c>
      <c r="K952" s="4">
        <v>20</v>
      </c>
      <c r="L952" s="4" t="str" cm="1">
        <f t="array" ref="L952">_xlfn.IFS(K952&gt;=50, "Senior", K952&gt;=30, "Adult", K952&lt;30, "Young Adult")</f>
        <v>Young Adult</v>
      </c>
      <c r="M952" s="4" t="s">
        <v>3</v>
      </c>
      <c r="N952" s="4">
        <v>3</v>
      </c>
      <c r="O952" s="5">
        <v>30</v>
      </c>
      <c r="P952">
        <f>N952*O952</f>
        <v>90</v>
      </c>
      <c r="Q952">
        <f>(P952*$U$4)</f>
        <v>1.3499999999999999</v>
      </c>
    </row>
    <row r="953" spans="1:17">
      <c r="A953" s="2">
        <v>954</v>
      </c>
      <c r="B953" s="4">
        <f>YEAR(H953)</f>
        <v>2023</v>
      </c>
      <c r="C953" s="4">
        <f>MONTH(H953)</f>
        <v>9</v>
      </c>
      <c r="D953" s="4">
        <f>DAY(H953)</f>
        <v>25</v>
      </c>
      <c r="E953" s="4" t="str">
        <f>TEXT(H953,"dddd")</f>
        <v>Monday</v>
      </c>
      <c r="F953" s="4" t="str">
        <f t="shared" si="15"/>
        <v>September</v>
      </c>
      <c r="G953" s="4"/>
      <c r="H953" s="3">
        <v>45194</v>
      </c>
      <c r="I953" s="4" t="s">
        <v>987</v>
      </c>
      <c r="J953" s="4" t="s">
        <v>29</v>
      </c>
      <c r="K953" s="4">
        <v>20</v>
      </c>
      <c r="L953" s="4" t="str" cm="1">
        <f t="array" ref="L953">_xlfn.IFS(K953&gt;=50, "Senior", K953&gt;=30, "Adult", K953&lt;30, "Young Adult")</f>
        <v>Young Adult</v>
      </c>
      <c r="M953" s="4" t="s">
        <v>10</v>
      </c>
      <c r="N953" s="4">
        <v>3</v>
      </c>
      <c r="O953" s="5">
        <v>300</v>
      </c>
      <c r="P953">
        <f>N953*O953</f>
        <v>900</v>
      </c>
      <c r="Q953">
        <f>(P953*$U$4)</f>
        <v>13.5</v>
      </c>
    </row>
    <row r="954" spans="1:17">
      <c r="A954" s="2">
        <v>955</v>
      </c>
      <c r="B954" s="4">
        <f>YEAR(H954)</f>
        <v>2023</v>
      </c>
      <c r="C954" s="4">
        <f>MONTH(H954)</f>
        <v>7</v>
      </c>
      <c r="D954" s="4">
        <f>DAY(H954)</f>
        <v>14</v>
      </c>
      <c r="E954" s="4" t="str">
        <f>TEXT(H954,"dddd")</f>
        <v>Friday</v>
      </c>
      <c r="F954" s="4" t="str">
        <f t="shared" si="15"/>
        <v>July</v>
      </c>
      <c r="G954" s="4"/>
      <c r="H954" s="3">
        <v>45121</v>
      </c>
      <c r="I954" s="4" t="s">
        <v>988</v>
      </c>
      <c r="J954" s="4" t="s">
        <v>27</v>
      </c>
      <c r="K954" s="4">
        <v>20</v>
      </c>
      <c r="L954" s="4" t="str" cm="1">
        <f t="array" ref="L954">_xlfn.IFS(K954&gt;=50, "Senior", K954&gt;=30, "Adult", K954&lt;30, "Young Adult")</f>
        <v>Young Adult</v>
      </c>
      <c r="M954" s="4" t="s">
        <v>8</v>
      </c>
      <c r="N954" s="4">
        <v>1</v>
      </c>
      <c r="O954" s="5">
        <v>25</v>
      </c>
      <c r="P954">
        <f>N954*O954</f>
        <v>25</v>
      </c>
      <c r="Q954">
        <f>(P954*$U$4)</f>
        <v>0.375</v>
      </c>
    </row>
    <row r="955" spans="1:17">
      <c r="A955" s="2">
        <v>956</v>
      </c>
      <c r="B955" s="4">
        <f>YEAR(H955)</f>
        <v>2023</v>
      </c>
      <c r="C955" s="4">
        <f>MONTH(H955)</f>
        <v>8</v>
      </c>
      <c r="D955" s="4">
        <f>DAY(H955)</f>
        <v>19</v>
      </c>
      <c r="E955" s="4" t="str">
        <f>TEXT(H955,"dddd")</f>
        <v>Saturday</v>
      </c>
      <c r="F955" s="4" t="str">
        <f t="shared" si="15"/>
        <v>August</v>
      </c>
      <c r="G955" s="4"/>
      <c r="H955" s="3">
        <v>45157</v>
      </c>
      <c r="I955" s="4" t="s">
        <v>989</v>
      </c>
      <c r="J955" s="4" t="s">
        <v>27</v>
      </c>
      <c r="K955" s="4">
        <v>20</v>
      </c>
      <c r="L955" s="4" t="str" cm="1">
        <f t="array" ref="L955">_xlfn.IFS(K955&gt;=50, "Senior", K955&gt;=30, "Adult", K955&lt;30, "Young Adult")</f>
        <v>Young Adult</v>
      </c>
      <c r="M955" s="4" t="s">
        <v>8</v>
      </c>
      <c r="N955" s="4">
        <v>3</v>
      </c>
      <c r="O955" s="5">
        <v>500</v>
      </c>
      <c r="P955">
        <f>N955*O955</f>
        <v>1500</v>
      </c>
      <c r="Q955">
        <f>(P955*$U$4)</f>
        <v>22.5</v>
      </c>
    </row>
    <row r="956" spans="1:17">
      <c r="A956" s="2">
        <v>957</v>
      </c>
      <c r="B956" s="4">
        <f>YEAR(H956)</f>
        <v>2023</v>
      </c>
      <c r="C956" s="4">
        <f>MONTH(H956)</f>
        <v>8</v>
      </c>
      <c r="D956" s="4">
        <f>DAY(H956)</f>
        <v>15</v>
      </c>
      <c r="E956" s="4" t="str">
        <f>TEXT(H956,"dddd")</f>
        <v>Tuesday</v>
      </c>
      <c r="F956" s="4" t="str">
        <f t="shared" si="15"/>
        <v>August</v>
      </c>
      <c r="G956" s="4"/>
      <c r="H956" s="3">
        <v>45153</v>
      </c>
      <c r="I956" s="4" t="s">
        <v>990</v>
      </c>
      <c r="J956" s="4" t="s">
        <v>29</v>
      </c>
      <c r="K956" s="4">
        <v>20</v>
      </c>
      <c r="L956" s="4" t="str" cm="1">
        <f t="array" ref="L956">_xlfn.IFS(K956&gt;=50, "Senior", K956&gt;=30, "Adult", K956&lt;30, "Young Adult")</f>
        <v>Young Adult</v>
      </c>
      <c r="M956" s="4" t="s">
        <v>10</v>
      </c>
      <c r="N956" s="4">
        <v>4</v>
      </c>
      <c r="O956" s="5">
        <v>30</v>
      </c>
      <c r="P956">
        <f>N956*O956</f>
        <v>120</v>
      </c>
      <c r="Q956">
        <f>(P956*$U$4)</f>
        <v>1.7999999999999998</v>
      </c>
    </row>
    <row r="957" spans="1:17">
      <c r="A957" s="2">
        <v>958</v>
      </c>
      <c r="B957" s="4">
        <f>YEAR(H957)</f>
        <v>2023</v>
      </c>
      <c r="C957" s="4">
        <f>MONTH(H957)</f>
        <v>6</v>
      </c>
      <c r="D957" s="4">
        <f>DAY(H957)</f>
        <v>2</v>
      </c>
      <c r="E957" s="4" t="str">
        <f>TEXT(H957,"dddd")</f>
        <v>Friday</v>
      </c>
      <c r="F957" s="4" t="str">
        <f t="shared" si="15"/>
        <v>June</v>
      </c>
      <c r="G957" s="4"/>
      <c r="H957" s="3">
        <v>45079</v>
      </c>
      <c r="I957" s="4" t="s">
        <v>991</v>
      </c>
      <c r="J957" s="4" t="s">
        <v>27</v>
      </c>
      <c r="K957" s="4">
        <v>20</v>
      </c>
      <c r="L957" s="4" t="str" cm="1">
        <f t="array" ref="L957">_xlfn.IFS(K957&gt;=50, "Senior", K957&gt;=30, "Adult", K957&lt;30, "Young Adult")</f>
        <v>Young Adult</v>
      </c>
      <c r="M957" s="4" t="s">
        <v>10</v>
      </c>
      <c r="N957" s="4">
        <v>2</v>
      </c>
      <c r="O957" s="5">
        <v>25</v>
      </c>
      <c r="P957">
        <f>N957*O957</f>
        <v>50</v>
      </c>
      <c r="Q957">
        <f>(P957*$U$4)</f>
        <v>0.75</v>
      </c>
    </row>
    <row r="958" spans="1:17">
      <c r="A958" s="2">
        <v>959</v>
      </c>
      <c r="B958" s="4">
        <f>YEAR(H958)</f>
        <v>2023</v>
      </c>
      <c r="C958" s="4">
        <f>MONTH(H958)</f>
        <v>10</v>
      </c>
      <c r="D958" s="4">
        <f>DAY(H958)</f>
        <v>29</v>
      </c>
      <c r="E958" s="4" t="str">
        <f>TEXT(H958,"dddd")</f>
        <v>Sunday</v>
      </c>
      <c r="F958" s="4" t="str">
        <f t="shared" si="15"/>
        <v>October</v>
      </c>
      <c r="G958" s="4"/>
      <c r="H958" s="3">
        <v>45228</v>
      </c>
      <c r="I958" s="4" t="s">
        <v>992</v>
      </c>
      <c r="J958" s="4" t="s">
        <v>29</v>
      </c>
      <c r="K958" s="4">
        <v>19</v>
      </c>
      <c r="L958" s="4" t="str" cm="1">
        <f t="array" ref="L958">_xlfn.IFS(K958&gt;=50, "Senior", K958&gt;=30, "Adult", K958&lt;30, "Young Adult")</f>
        <v>Young Adult</v>
      </c>
      <c r="M958" s="4" t="s">
        <v>10</v>
      </c>
      <c r="N958" s="4">
        <v>2</v>
      </c>
      <c r="O958" s="5">
        <v>30</v>
      </c>
      <c r="P958">
        <f>N958*O958</f>
        <v>60</v>
      </c>
      <c r="Q958">
        <f>(P958*$U$4)</f>
        <v>0.89999999999999991</v>
      </c>
    </row>
    <row r="959" spans="1:17">
      <c r="A959" s="2">
        <v>960</v>
      </c>
      <c r="B959" s="4">
        <f>YEAR(H959)</f>
        <v>2023</v>
      </c>
      <c r="C959" s="4">
        <f>MONTH(H959)</f>
        <v>8</v>
      </c>
      <c r="D959" s="4">
        <f>DAY(H959)</f>
        <v>8</v>
      </c>
      <c r="E959" s="4" t="str">
        <f>TEXT(H959,"dddd")</f>
        <v>Tuesday</v>
      </c>
      <c r="F959" s="4" t="str">
        <f t="shared" si="15"/>
        <v>August</v>
      </c>
      <c r="G959" s="4"/>
      <c r="H959" s="3">
        <v>45146</v>
      </c>
      <c r="I959" s="4" t="s">
        <v>993</v>
      </c>
      <c r="J959" s="4" t="s">
        <v>27</v>
      </c>
      <c r="K959" s="4">
        <v>19</v>
      </c>
      <c r="L959" s="4" t="str" cm="1">
        <f t="array" ref="L959">_xlfn.IFS(K959&gt;=50, "Senior", K959&gt;=30, "Adult", K959&lt;30, "Young Adult")</f>
        <v>Young Adult</v>
      </c>
      <c r="M959" s="4" t="s">
        <v>8</v>
      </c>
      <c r="N959" s="4">
        <v>2</v>
      </c>
      <c r="O959" s="5">
        <v>30</v>
      </c>
      <c r="P959">
        <f>N959*O959</f>
        <v>60</v>
      </c>
      <c r="Q959">
        <f>(P959*$U$4)</f>
        <v>0.89999999999999991</v>
      </c>
    </row>
    <row r="960" spans="1:17">
      <c r="A960" s="2">
        <v>961</v>
      </c>
      <c r="B960" s="4">
        <f>YEAR(H960)</f>
        <v>2023</v>
      </c>
      <c r="C960" s="4">
        <f>MONTH(H960)</f>
        <v>6</v>
      </c>
      <c r="D960" s="4">
        <f>DAY(H960)</f>
        <v>6</v>
      </c>
      <c r="E960" s="4" t="str">
        <f>TEXT(H960,"dddd")</f>
        <v>Tuesday</v>
      </c>
      <c r="F960" s="4" t="str">
        <f t="shared" si="15"/>
        <v>June</v>
      </c>
      <c r="G960" s="4"/>
      <c r="H960" s="3">
        <v>45083</v>
      </c>
      <c r="I960" s="4" t="s">
        <v>994</v>
      </c>
      <c r="J960" s="4" t="s">
        <v>27</v>
      </c>
      <c r="K960" s="4">
        <v>19</v>
      </c>
      <c r="L960" s="4" t="str" cm="1">
        <f t="array" ref="L960">_xlfn.IFS(K960&gt;=50, "Senior", K960&gt;=30, "Adult", K960&lt;30, "Young Adult")</f>
        <v>Young Adult</v>
      </c>
      <c r="M960" s="4" t="s">
        <v>3</v>
      </c>
      <c r="N960" s="4">
        <v>4</v>
      </c>
      <c r="O960" s="5">
        <v>50</v>
      </c>
      <c r="P960">
        <f>N960*O960</f>
        <v>200</v>
      </c>
      <c r="Q960">
        <f>(P960*$U$4)</f>
        <v>3</v>
      </c>
    </row>
    <row r="961" spans="1:17">
      <c r="A961" s="2">
        <v>962</v>
      </c>
      <c r="B961" s="4">
        <f>YEAR(H961)</f>
        <v>2023</v>
      </c>
      <c r="C961" s="4">
        <f>MONTH(H961)</f>
        <v>10</v>
      </c>
      <c r="D961" s="4">
        <f>DAY(H961)</f>
        <v>19</v>
      </c>
      <c r="E961" s="4" t="str">
        <f>TEXT(H961,"dddd")</f>
        <v>Thursday</v>
      </c>
      <c r="F961" s="4" t="str">
        <f t="shared" si="15"/>
        <v>October</v>
      </c>
      <c r="G961" s="4"/>
      <c r="H961" s="3">
        <v>45218</v>
      </c>
      <c r="I961" s="4" t="s">
        <v>995</v>
      </c>
      <c r="J961" s="4" t="s">
        <v>27</v>
      </c>
      <c r="K961" s="4">
        <v>19</v>
      </c>
      <c r="L961" s="4" t="str" cm="1">
        <f t="array" ref="L961">_xlfn.IFS(K961&gt;=50, "Senior", K961&gt;=30, "Adult", K961&lt;30, "Young Adult")</f>
        <v>Young Adult</v>
      </c>
      <c r="M961" s="4" t="s">
        <v>8</v>
      </c>
      <c r="N961" s="4">
        <v>2</v>
      </c>
      <c r="O961" s="5">
        <v>30</v>
      </c>
      <c r="P961">
        <f>N961*O961</f>
        <v>60</v>
      </c>
      <c r="Q961">
        <f>(P961*$U$4)</f>
        <v>0.89999999999999991</v>
      </c>
    </row>
    <row r="962" spans="1:17">
      <c r="A962" s="2">
        <v>963</v>
      </c>
      <c r="B962" s="4">
        <f>YEAR(H962)</f>
        <v>2023</v>
      </c>
      <c r="C962" s="4">
        <f>MONTH(H962)</f>
        <v>11</v>
      </c>
      <c r="D962" s="4">
        <f>DAY(H962)</f>
        <v>14</v>
      </c>
      <c r="E962" s="4" t="str">
        <f>TEXT(H962,"dddd")</f>
        <v>Tuesday</v>
      </c>
      <c r="F962" s="4" t="str">
        <f t="shared" si="15"/>
        <v>November</v>
      </c>
      <c r="G962" s="4"/>
      <c r="H962" s="3">
        <v>45244</v>
      </c>
      <c r="I962" s="4" t="s">
        <v>996</v>
      </c>
      <c r="J962" s="4" t="s">
        <v>29</v>
      </c>
      <c r="K962" s="4">
        <v>19</v>
      </c>
      <c r="L962" s="4" t="str" cm="1">
        <f t="array" ref="L962">_xlfn.IFS(K962&gt;=50, "Senior", K962&gt;=30, "Adult", K962&lt;30, "Young Adult")</f>
        <v>Young Adult</v>
      </c>
      <c r="M962" s="4" t="s">
        <v>3</v>
      </c>
      <c r="N962" s="4">
        <v>1</v>
      </c>
      <c r="O962" s="5">
        <v>50</v>
      </c>
      <c r="P962">
        <f>N962*O962</f>
        <v>50</v>
      </c>
      <c r="Q962">
        <f>(P962*$U$4)</f>
        <v>0.75</v>
      </c>
    </row>
    <row r="963" spans="1:17">
      <c r="A963" s="2">
        <v>964</v>
      </c>
      <c r="B963" s="4">
        <f>YEAR(H963)</f>
        <v>2023</v>
      </c>
      <c r="C963" s="4">
        <f>MONTH(H963)</f>
        <v>1</v>
      </c>
      <c r="D963" s="4">
        <f>DAY(H963)</f>
        <v>31</v>
      </c>
      <c r="E963" s="4" t="str">
        <f>TEXT(H963,"dddd")</f>
        <v>Tuesday</v>
      </c>
      <c r="F963" s="4" t="str">
        <f t="shared" ref="F963:F1004" si="16">TEXT(H963,"mmmm")</f>
        <v>January</v>
      </c>
      <c r="G963" s="4"/>
      <c r="H963" s="3">
        <v>44957</v>
      </c>
      <c r="I963" s="4" t="s">
        <v>997</v>
      </c>
      <c r="J963" s="4" t="s">
        <v>27</v>
      </c>
      <c r="K963" s="4">
        <v>19</v>
      </c>
      <c r="L963" s="4" t="str" cm="1">
        <f t="array" ref="L963">_xlfn.IFS(K963&gt;=50, "Senior", K963&gt;=30, "Adult", K963&lt;30, "Young Adult")</f>
        <v>Young Adult</v>
      </c>
      <c r="M963" s="4" t="s">
        <v>8</v>
      </c>
      <c r="N963" s="4">
        <v>3</v>
      </c>
      <c r="O963" s="5">
        <v>300</v>
      </c>
      <c r="P963">
        <f>N963*O963</f>
        <v>900</v>
      </c>
      <c r="Q963">
        <f>(P963*$U$4)</f>
        <v>13.5</v>
      </c>
    </row>
    <row r="964" spans="1:17">
      <c r="A964" s="2">
        <v>965</v>
      </c>
      <c r="B964" s="4">
        <f>YEAR(H964)</f>
        <v>2023</v>
      </c>
      <c r="C964" s="4">
        <f>MONTH(H964)</f>
        <v>11</v>
      </c>
      <c r="D964" s="4">
        <f>DAY(H964)</f>
        <v>9</v>
      </c>
      <c r="E964" s="4" t="str">
        <f>TEXT(H964,"dddd")</f>
        <v>Thursday</v>
      </c>
      <c r="F964" s="4" t="str">
        <f t="shared" si="16"/>
        <v>November</v>
      </c>
      <c r="G964" s="4"/>
      <c r="H964" s="3">
        <v>45239</v>
      </c>
      <c r="I964" s="4" t="s">
        <v>998</v>
      </c>
      <c r="J964" s="4" t="s">
        <v>27</v>
      </c>
      <c r="K964" s="4">
        <v>19</v>
      </c>
      <c r="L964" s="4" t="str" cm="1">
        <f t="array" ref="L964">_xlfn.IFS(K964&gt;=50, "Senior", K964&gt;=30, "Adult", K964&lt;30, "Young Adult")</f>
        <v>Young Adult</v>
      </c>
      <c r="M964" s="4" t="s">
        <v>8</v>
      </c>
      <c r="N964" s="4">
        <v>4</v>
      </c>
      <c r="O964" s="5">
        <v>50</v>
      </c>
      <c r="P964">
        <f>N964*O964</f>
        <v>200</v>
      </c>
      <c r="Q964">
        <f>(P964*$U$4)</f>
        <v>3</v>
      </c>
    </row>
    <row r="965" spans="1:17">
      <c r="A965" s="2">
        <v>966</v>
      </c>
      <c r="B965" s="4">
        <f>YEAR(H965)</f>
        <v>2023</v>
      </c>
      <c r="C965" s="4">
        <f>MONTH(H965)</f>
        <v>2</v>
      </c>
      <c r="D965" s="4">
        <f>DAY(H965)</f>
        <v>20</v>
      </c>
      <c r="E965" s="4" t="str">
        <f>TEXT(H965,"dddd")</f>
        <v>Monday</v>
      </c>
      <c r="F965" s="4" t="str">
        <f t="shared" si="16"/>
        <v>February</v>
      </c>
      <c r="G965" s="4"/>
      <c r="H965" s="3">
        <v>44977</v>
      </c>
      <c r="I965" s="4" t="s">
        <v>999</v>
      </c>
      <c r="J965" s="4" t="s">
        <v>27</v>
      </c>
      <c r="K965" s="4">
        <v>19</v>
      </c>
      <c r="L965" s="4" t="str" cm="1">
        <f t="array" ref="L965">_xlfn.IFS(K965&gt;=50, "Senior", K965&gt;=30, "Adult", K965&lt;30, "Young Adult")</f>
        <v>Young Adult</v>
      </c>
      <c r="M965" s="4" t="s">
        <v>10</v>
      </c>
      <c r="N965" s="4">
        <v>2</v>
      </c>
      <c r="O965" s="5">
        <v>500</v>
      </c>
      <c r="P965">
        <f>N965*O965</f>
        <v>1000</v>
      </c>
      <c r="Q965">
        <f>(P965*$U$4)</f>
        <v>15</v>
      </c>
    </row>
    <row r="966" spans="1:17">
      <c r="A966" s="2">
        <v>967</v>
      </c>
      <c r="B966" s="4">
        <f>YEAR(H966)</f>
        <v>2023</v>
      </c>
      <c r="C966" s="4">
        <f>MONTH(H966)</f>
        <v>4</v>
      </c>
      <c r="D966" s="4">
        <f>DAY(H966)</f>
        <v>17</v>
      </c>
      <c r="E966" s="4" t="str">
        <f>TEXT(H966,"dddd")</f>
        <v>Monday</v>
      </c>
      <c r="F966" s="4" t="str">
        <f t="shared" si="16"/>
        <v>April</v>
      </c>
      <c r="G966" s="4"/>
      <c r="H966" s="3">
        <v>45033</v>
      </c>
      <c r="I966" s="4" t="s">
        <v>1000</v>
      </c>
      <c r="J966" s="4" t="s">
        <v>27</v>
      </c>
      <c r="K966" s="4">
        <v>19</v>
      </c>
      <c r="L966" s="4" t="str" cm="1">
        <f t="array" ref="L966">_xlfn.IFS(K966&gt;=50, "Senior", K966&gt;=30, "Adult", K966&lt;30, "Young Adult")</f>
        <v>Young Adult</v>
      </c>
      <c r="M966" s="4" t="s">
        <v>3</v>
      </c>
      <c r="N966" s="4">
        <v>1</v>
      </c>
      <c r="O966" s="5">
        <v>25</v>
      </c>
      <c r="P966">
        <f>N966*O966</f>
        <v>25</v>
      </c>
      <c r="Q966">
        <f>(P966*$U$4)</f>
        <v>0.375</v>
      </c>
    </row>
    <row r="967" spans="1:17">
      <c r="A967" s="2">
        <v>968</v>
      </c>
      <c r="B967" s="4">
        <f>YEAR(H967)</f>
        <v>2023</v>
      </c>
      <c r="C967" s="4">
        <f>MONTH(H967)</f>
        <v>11</v>
      </c>
      <c r="D967" s="4">
        <f>DAY(H967)</f>
        <v>17</v>
      </c>
      <c r="E967" s="4" t="str">
        <f>TEXT(H967,"dddd")</f>
        <v>Friday</v>
      </c>
      <c r="F967" s="4" t="str">
        <f t="shared" si="16"/>
        <v>November</v>
      </c>
      <c r="G967" s="4"/>
      <c r="H967" s="3">
        <v>45247</v>
      </c>
      <c r="I967" s="4" t="s">
        <v>1001</v>
      </c>
      <c r="J967" s="4" t="s">
        <v>29</v>
      </c>
      <c r="K967" s="4">
        <v>19</v>
      </c>
      <c r="L967" s="4" t="str" cm="1">
        <f t="array" ref="L967">_xlfn.IFS(K967&gt;=50, "Senior", K967&gt;=30, "Adult", K967&lt;30, "Young Adult")</f>
        <v>Young Adult</v>
      </c>
      <c r="M967" s="4" t="s">
        <v>8</v>
      </c>
      <c r="N967" s="4">
        <v>3</v>
      </c>
      <c r="O967" s="5">
        <v>300</v>
      </c>
      <c r="P967">
        <f>N967*O967</f>
        <v>900</v>
      </c>
      <c r="Q967">
        <f>(P967*$U$4)</f>
        <v>13.5</v>
      </c>
    </row>
    <row r="968" spans="1:17">
      <c r="A968" s="2">
        <v>969</v>
      </c>
      <c r="B968" s="4">
        <f>YEAR(H968)</f>
        <v>2023</v>
      </c>
      <c r="C968" s="4">
        <f>MONTH(H968)</f>
        <v>4</v>
      </c>
      <c r="D968" s="4">
        <f>DAY(H968)</f>
        <v>19</v>
      </c>
      <c r="E968" s="4" t="str">
        <f>TEXT(H968,"dddd")</f>
        <v>Wednesday</v>
      </c>
      <c r="F968" s="4" t="str">
        <f t="shared" si="16"/>
        <v>April</v>
      </c>
      <c r="G968" s="4"/>
      <c r="H968" s="3">
        <v>45035</v>
      </c>
      <c r="I968" s="4" t="s">
        <v>1002</v>
      </c>
      <c r="J968" s="4" t="s">
        <v>29</v>
      </c>
      <c r="K968" s="4">
        <v>19</v>
      </c>
      <c r="L968" s="4" t="str" cm="1">
        <f t="array" ref="L968">_xlfn.IFS(K968&gt;=50, "Senior", K968&gt;=30, "Adult", K968&lt;30, "Young Adult")</f>
        <v>Young Adult</v>
      </c>
      <c r="M968" s="4" t="s">
        <v>8</v>
      </c>
      <c r="N968" s="4">
        <v>3</v>
      </c>
      <c r="O968" s="5">
        <v>300</v>
      </c>
      <c r="P968">
        <f>N968*O968</f>
        <v>900</v>
      </c>
      <c r="Q968">
        <f>(P968*$U$4)</f>
        <v>13.5</v>
      </c>
    </row>
    <row r="969" spans="1:17">
      <c r="A969" s="2">
        <v>970</v>
      </c>
      <c r="B969" s="4">
        <f>YEAR(H969)</f>
        <v>2023</v>
      </c>
      <c r="C969" s="4">
        <f>MONTH(H969)</f>
        <v>5</v>
      </c>
      <c r="D969" s="4">
        <f>DAY(H969)</f>
        <v>16</v>
      </c>
      <c r="E969" s="4" t="str">
        <f>TEXT(H969,"dddd")</f>
        <v>Tuesday</v>
      </c>
      <c r="F969" s="4" t="str">
        <f t="shared" si="16"/>
        <v>May</v>
      </c>
      <c r="G969" s="4"/>
      <c r="H969" s="3">
        <v>45062</v>
      </c>
      <c r="I969" s="4" t="s">
        <v>1003</v>
      </c>
      <c r="J969" s="4" t="s">
        <v>27</v>
      </c>
      <c r="K969" s="4">
        <v>19</v>
      </c>
      <c r="L969" s="4" t="str" cm="1">
        <f t="array" ref="L969">_xlfn.IFS(K969&gt;=50, "Senior", K969&gt;=30, "Adult", K969&lt;30, "Young Adult")</f>
        <v>Young Adult</v>
      </c>
      <c r="M969" s="4" t="s">
        <v>10</v>
      </c>
      <c r="N969" s="4">
        <v>4</v>
      </c>
      <c r="O969" s="5">
        <v>500</v>
      </c>
      <c r="P969">
        <f>N969*O969</f>
        <v>2000</v>
      </c>
      <c r="Q969">
        <f>(P969*$U$4)</f>
        <v>30</v>
      </c>
    </row>
    <row r="970" spans="1:17">
      <c r="A970" s="2">
        <v>971</v>
      </c>
      <c r="B970" s="4">
        <f>YEAR(H970)</f>
        <v>2023</v>
      </c>
      <c r="C970" s="4">
        <f>MONTH(H970)</f>
        <v>12</v>
      </c>
      <c r="D970" s="4">
        <f>DAY(H970)</f>
        <v>5</v>
      </c>
      <c r="E970" s="4" t="str">
        <f>TEXT(H970,"dddd")</f>
        <v>Tuesday</v>
      </c>
      <c r="F970" s="4" t="str">
        <f t="shared" si="16"/>
        <v>December</v>
      </c>
      <c r="G970" s="4"/>
      <c r="H970" s="3">
        <v>45265</v>
      </c>
      <c r="I970" s="4" t="s">
        <v>1004</v>
      </c>
      <c r="J970" s="4" t="s">
        <v>29</v>
      </c>
      <c r="K970" s="4">
        <v>19</v>
      </c>
      <c r="L970" s="4" t="str" cm="1">
        <f t="array" ref="L970">_xlfn.IFS(K970&gt;=50, "Senior", K970&gt;=30, "Adult", K970&lt;30, "Young Adult")</f>
        <v>Young Adult</v>
      </c>
      <c r="M970" s="4" t="s">
        <v>10</v>
      </c>
      <c r="N970" s="4">
        <v>4</v>
      </c>
      <c r="O970" s="5">
        <v>50</v>
      </c>
      <c r="P970">
        <f>N970*O970</f>
        <v>200</v>
      </c>
      <c r="Q970">
        <f>(P970*$U$4)</f>
        <v>3</v>
      </c>
    </row>
    <row r="971" spans="1:17">
      <c r="A971" s="2">
        <v>972</v>
      </c>
      <c r="B971" s="4">
        <f>YEAR(H971)</f>
        <v>2023</v>
      </c>
      <c r="C971" s="4">
        <f>MONTH(H971)</f>
        <v>2</v>
      </c>
      <c r="D971" s="4">
        <f>DAY(H971)</f>
        <v>11</v>
      </c>
      <c r="E971" s="4" t="str">
        <f>TEXT(H971,"dddd")</f>
        <v>Saturday</v>
      </c>
      <c r="F971" s="4" t="str">
        <f t="shared" si="16"/>
        <v>February</v>
      </c>
      <c r="G971" s="4"/>
      <c r="H971" s="3">
        <v>44968</v>
      </c>
      <c r="I971" s="4" t="s">
        <v>1005</v>
      </c>
      <c r="J971" s="4" t="s">
        <v>27</v>
      </c>
      <c r="K971" s="4">
        <v>19</v>
      </c>
      <c r="L971" s="4" t="str" cm="1">
        <f t="array" ref="L971">_xlfn.IFS(K971&gt;=50, "Senior", K971&gt;=30, "Adult", K971&lt;30, "Young Adult")</f>
        <v>Young Adult</v>
      </c>
      <c r="M971" s="4" t="s">
        <v>3</v>
      </c>
      <c r="N971" s="4">
        <v>4</v>
      </c>
      <c r="O971" s="5">
        <v>25</v>
      </c>
      <c r="P971">
        <f>N971*O971</f>
        <v>100</v>
      </c>
      <c r="Q971">
        <f>(P971*$U$4)</f>
        <v>1.5</v>
      </c>
    </row>
    <row r="972" spans="1:17">
      <c r="A972" s="2">
        <v>973</v>
      </c>
      <c r="B972" s="4">
        <f>YEAR(H972)</f>
        <v>2023</v>
      </c>
      <c r="C972" s="4">
        <f>MONTH(H972)</f>
        <v>3</v>
      </c>
      <c r="D972" s="4">
        <f>DAY(H972)</f>
        <v>22</v>
      </c>
      <c r="E972" s="4" t="str">
        <f>TEXT(H972,"dddd")</f>
        <v>Wednesday</v>
      </c>
      <c r="F972" s="4" t="str">
        <f t="shared" si="16"/>
        <v>March</v>
      </c>
      <c r="G972" s="4"/>
      <c r="H972" s="3">
        <v>45007</v>
      </c>
      <c r="I972" s="4" t="s">
        <v>1006</v>
      </c>
      <c r="J972" s="4" t="s">
        <v>27</v>
      </c>
      <c r="K972" s="4">
        <v>19</v>
      </c>
      <c r="L972" s="4" t="str" cm="1">
        <f t="array" ref="L972">_xlfn.IFS(K972&gt;=50, "Senior", K972&gt;=30, "Adult", K972&lt;30, "Young Adult")</f>
        <v>Young Adult</v>
      </c>
      <c r="M972" s="4" t="s">
        <v>8</v>
      </c>
      <c r="N972" s="4">
        <v>1</v>
      </c>
      <c r="O972" s="5">
        <v>50</v>
      </c>
      <c r="P972">
        <f>N972*O972</f>
        <v>50</v>
      </c>
      <c r="Q972">
        <f>(P972*$U$4)</f>
        <v>0.75</v>
      </c>
    </row>
    <row r="973" spans="1:17">
      <c r="A973" s="2">
        <v>974</v>
      </c>
      <c r="B973" s="4">
        <f>YEAR(H973)</f>
        <v>2023</v>
      </c>
      <c r="C973" s="4">
        <f>MONTH(H973)</f>
        <v>5</v>
      </c>
      <c r="D973" s="4">
        <f>DAY(H973)</f>
        <v>3</v>
      </c>
      <c r="E973" s="4" t="str">
        <f>TEXT(H973,"dddd")</f>
        <v>Wednesday</v>
      </c>
      <c r="F973" s="4" t="str">
        <f t="shared" si="16"/>
        <v>May</v>
      </c>
      <c r="G973" s="4"/>
      <c r="H973" s="3">
        <v>45049</v>
      </c>
      <c r="I973" s="4" t="s">
        <v>1007</v>
      </c>
      <c r="J973" s="4" t="s">
        <v>27</v>
      </c>
      <c r="K973" s="4">
        <v>19</v>
      </c>
      <c r="L973" s="4" t="str" cm="1">
        <f t="array" ref="L973">_xlfn.IFS(K973&gt;=50, "Senior", K973&gt;=30, "Adult", K973&lt;30, "Young Adult")</f>
        <v>Young Adult</v>
      </c>
      <c r="M973" s="4" t="s">
        <v>3</v>
      </c>
      <c r="N973" s="4">
        <v>1</v>
      </c>
      <c r="O973" s="5">
        <v>30</v>
      </c>
      <c r="P973">
        <f>N973*O973</f>
        <v>30</v>
      </c>
      <c r="Q973">
        <f>(P973*$U$4)</f>
        <v>0.44999999999999996</v>
      </c>
    </row>
    <row r="974" spans="1:17">
      <c r="A974" s="2">
        <v>975</v>
      </c>
      <c r="B974" s="4">
        <f>YEAR(H974)</f>
        <v>2023</v>
      </c>
      <c r="C974" s="4">
        <f>MONTH(H974)</f>
        <v>3</v>
      </c>
      <c r="D974" s="4">
        <f>DAY(H974)</f>
        <v>30</v>
      </c>
      <c r="E974" s="4" t="str">
        <f>TEXT(H974,"dddd")</f>
        <v>Thursday</v>
      </c>
      <c r="F974" s="4" t="str">
        <f t="shared" si="16"/>
        <v>March</v>
      </c>
      <c r="G974" s="4"/>
      <c r="H974" s="3">
        <v>45015</v>
      </c>
      <c r="I974" s="4" t="s">
        <v>1008</v>
      </c>
      <c r="J974" s="4" t="s">
        <v>29</v>
      </c>
      <c r="K974" s="4">
        <v>19</v>
      </c>
      <c r="L974" s="4" t="str" cm="1">
        <f t="array" ref="L974">_xlfn.IFS(K974&gt;=50, "Senior", K974&gt;=30, "Adult", K974&lt;30, "Young Adult")</f>
        <v>Young Adult</v>
      </c>
      <c r="M974" s="4" t="s">
        <v>8</v>
      </c>
      <c r="N974" s="4">
        <v>4</v>
      </c>
      <c r="O974" s="5">
        <v>50</v>
      </c>
      <c r="P974">
        <f>N974*O974</f>
        <v>200</v>
      </c>
      <c r="Q974">
        <f>(P974*$U$4)</f>
        <v>3</v>
      </c>
    </row>
    <row r="975" spans="1:17">
      <c r="A975" s="2">
        <v>976</v>
      </c>
      <c r="B975" s="4">
        <f>YEAR(H975)</f>
        <v>2023</v>
      </c>
      <c r="C975" s="4">
        <f>MONTH(H975)</f>
        <v>10</v>
      </c>
      <c r="D975" s="4">
        <f>DAY(H975)</f>
        <v>10</v>
      </c>
      <c r="E975" s="4" t="str">
        <f>TEXT(H975,"dddd")</f>
        <v>Tuesday</v>
      </c>
      <c r="F975" s="4" t="str">
        <f t="shared" si="16"/>
        <v>October</v>
      </c>
      <c r="G975" s="4"/>
      <c r="H975" s="3">
        <v>45209</v>
      </c>
      <c r="I975" s="4" t="s">
        <v>1009</v>
      </c>
      <c r="J975" s="4" t="s">
        <v>29</v>
      </c>
      <c r="K975" s="4">
        <v>19</v>
      </c>
      <c r="L975" s="4" t="str" cm="1">
        <f t="array" ref="L975">_xlfn.IFS(K975&gt;=50, "Senior", K975&gt;=30, "Adult", K975&lt;30, "Young Adult")</f>
        <v>Young Adult</v>
      </c>
      <c r="M975" s="4" t="s">
        <v>3</v>
      </c>
      <c r="N975" s="4">
        <v>2</v>
      </c>
      <c r="O975" s="5">
        <v>300</v>
      </c>
      <c r="P975">
        <f>N975*O975</f>
        <v>600</v>
      </c>
      <c r="Q975">
        <f>(P975*$U$4)</f>
        <v>9</v>
      </c>
    </row>
    <row r="976" spans="1:17">
      <c r="A976" s="2">
        <v>977</v>
      </c>
      <c r="B976" s="4">
        <f>YEAR(H976)</f>
        <v>2023</v>
      </c>
      <c r="C976" s="4">
        <f>MONTH(H976)</f>
        <v>2</v>
      </c>
      <c r="D976" s="4">
        <f>DAY(H976)</f>
        <v>8</v>
      </c>
      <c r="E976" s="4" t="str">
        <f>TEXT(H976,"dddd")</f>
        <v>Wednesday</v>
      </c>
      <c r="F976" s="4" t="str">
        <f t="shared" si="16"/>
        <v>February</v>
      </c>
      <c r="G976" s="4"/>
      <c r="H976" s="3">
        <v>44965</v>
      </c>
      <c r="I976" s="4" t="s">
        <v>1010</v>
      </c>
      <c r="J976" s="4" t="s">
        <v>29</v>
      </c>
      <c r="K976" s="4">
        <v>19</v>
      </c>
      <c r="L976" s="4" t="str" cm="1">
        <f t="array" ref="L976">_xlfn.IFS(K976&gt;=50, "Senior", K976&gt;=30, "Adult", K976&lt;30, "Young Adult")</f>
        <v>Young Adult</v>
      </c>
      <c r="M976" s="4" t="s">
        <v>10</v>
      </c>
      <c r="N976" s="4">
        <v>3</v>
      </c>
      <c r="O976" s="5">
        <v>25</v>
      </c>
      <c r="P976">
        <f>N976*O976</f>
        <v>75</v>
      </c>
      <c r="Q976">
        <f>(P976*$U$4)</f>
        <v>1.125</v>
      </c>
    </row>
    <row r="977" spans="1:17">
      <c r="A977" s="2">
        <v>978</v>
      </c>
      <c r="B977" s="4">
        <f>YEAR(H977)</f>
        <v>2023</v>
      </c>
      <c r="C977" s="4">
        <f>MONTH(H977)</f>
        <v>3</v>
      </c>
      <c r="D977" s="4">
        <f>DAY(H977)</f>
        <v>22</v>
      </c>
      <c r="E977" s="4" t="str">
        <f>TEXT(H977,"dddd")</f>
        <v>Wednesday</v>
      </c>
      <c r="F977" s="4" t="str">
        <f t="shared" si="16"/>
        <v>March</v>
      </c>
      <c r="G977" s="4"/>
      <c r="H977" s="3">
        <v>45007</v>
      </c>
      <c r="I977" s="4" t="s">
        <v>1011</v>
      </c>
      <c r="J977" s="4" t="s">
        <v>29</v>
      </c>
      <c r="K977" s="4">
        <v>19</v>
      </c>
      <c r="L977" s="4" t="str" cm="1">
        <f t="array" ref="L977">_xlfn.IFS(K977&gt;=50, "Senior", K977&gt;=30, "Adult", K977&lt;30, "Young Adult")</f>
        <v>Young Adult</v>
      </c>
      <c r="M977" s="4" t="s">
        <v>8</v>
      </c>
      <c r="N977" s="4">
        <v>3</v>
      </c>
      <c r="O977" s="5">
        <v>50</v>
      </c>
      <c r="P977">
        <f>N977*O977</f>
        <v>150</v>
      </c>
      <c r="Q977">
        <f>(P977*$U$4)</f>
        <v>2.25</v>
      </c>
    </row>
    <row r="978" spans="1:17">
      <c r="A978" s="2">
        <v>979</v>
      </c>
      <c r="B978" s="4">
        <f>YEAR(H978)</f>
        <v>2023</v>
      </c>
      <c r="C978" s="4">
        <f>MONTH(H978)</f>
        <v>1</v>
      </c>
      <c r="D978" s="4">
        <f>DAY(H978)</f>
        <v>2</v>
      </c>
      <c r="E978" s="4" t="str">
        <f>TEXT(H978,"dddd")</f>
        <v>Monday</v>
      </c>
      <c r="F978" s="4" t="str">
        <f t="shared" si="16"/>
        <v>January</v>
      </c>
      <c r="G978" s="4"/>
      <c r="H978" s="3">
        <v>44928</v>
      </c>
      <c r="I978" s="4" t="s">
        <v>1012</v>
      </c>
      <c r="J978" s="4" t="s">
        <v>29</v>
      </c>
      <c r="K978" s="4">
        <v>19</v>
      </c>
      <c r="L978" s="4" t="str" cm="1">
        <f t="array" ref="L978">_xlfn.IFS(K978&gt;=50, "Senior", K978&gt;=30, "Adult", K978&lt;30, "Young Adult")</f>
        <v>Young Adult</v>
      </c>
      <c r="M978" s="4" t="s">
        <v>3</v>
      </c>
      <c r="N978" s="4">
        <v>1</v>
      </c>
      <c r="O978" s="5">
        <v>25</v>
      </c>
      <c r="P978">
        <f>N978*O978</f>
        <v>25</v>
      </c>
      <c r="Q978">
        <f>(P978*$U$4)</f>
        <v>0.375</v>
      </c>
    </row>
    <row r="979" spans="1:17">
      <c r="A979" s="2">
        <v>980</v>
      </c>
      <c r="B979" s="4">
        <f>YEAR(H979)</f>
        <v>2023</v>
      </c>
      <c r="C979" s="4">
        <f>MONTH(H979)</f>
        <v>7</v>
      </c>
      <c r="D979" s="4">
        <f>DAY(H979)</f>
        <v>29</v>
      </c>
      <c r="E979" s="4" t="str">
        <f>TEXT(H979,"dddd")</f>
        <v>Saturday</v>
      </c>
      <c r="F979" s="4" t="str">
        <f t="shared" si="16"/>
        <v>July</v>
      </c>
      <c r="G979" s="4"/>
      <c r="H979" s="3">
        <v>45136</v>
      </c>
      <c r="I979" s="4" t="s">
        <v>1013</v>
      </c>
      <c r="J979" s="4" t="s">
        <v>29</v>
      </c>
      <c r="K979" s="4">
        <v>18</v>
      </c>
      <c r="L979" s="4" t="str" cm="1">
        <f t="array" ref="L979">_xlfn.IFS(K979&gt;=50, "Senior", K979&gt;=30, "Adult", K979&lt;30, "Young Adult")</f>
        <v>Young Adult</v>
      </c>
      <c r="M979" s="4" t="s">
        <v>10</v>
      </c>
      <c r="N979" s="4">
        <v>3</v>
      </c>
      <c r="O979" s="5">
        <v>25</v>
      </c>
      <c r="P979">
        <f>N979*O979</f>
        <v>75</v>
      </c>
      <c r="Q979">
        <f>(P979*$U$4)</f>
        <v>1.125</v>
      </c>
    </row>
    <row r="980" spans="1:17">
      <c r="A980" s="2">
        <v>981</v>
      </c>
      <c r="B980" s="4">
        <f>YEAR(H980)</f>
        <v>2023</v>
      </c>
      <c r="C980" s="4">
        <f>MONTH(H980)</f>
        <v>8</v>
      </c>
      <c r="D980" s="4">
        <f>DAY(H980)</f>
        <v>19</v>
      </c>
      <c r="E980" s="4" t="str">
        <f>TEXT(H980,"dddd")</f>
        <v>Saturday</v>
      </c>
      <c r="F980" s="4" t="str">
        <f t="shared" si="16"/>
        <v>August</v>
      </c>
      <c r="G980" s="4"/>
      <c r="H980" s="3">
        <v>45157</v>
      </c>
      <c r="I980" s="4" t="s">
        <v>1014</v>
      </c>
      <c r="J980" s="4" t="s">
        <v>29</v>
      </c>
      <c r="K980" s="4">
        <v>18</v>
      </c>
      <c r="L980" s="4" t="str" cm="1">
        <f t="array" ref="L980">_xlfn.IFS(K980&gt;=50, "Senior", K980&gt;=30, "Adult", K980&lt;30, "Young Adult")</f>
        <v>Young Adult</v>
      </c>
      <c r="M980" s="4" t="s">
        <v>10</v>
      </c>
      <c r="N980" s="4">
        <v>2</v>
      </c>
      <c r="O980" s="5">
        <v>30</v>
      </c>
      <c r="P980">
        <f>N980*O980</f>
        <v>60</v>
      </c>
      <c r="Q980">
        <f>(P980*$U$4)</f>
        <v>0.89999999999999991</v>
      </c>
    </row>
    <row r="981" spans="1:17">
      <c r="A981" s="2">
        <v>982</v>
      </c>
      <c r="B981" s="4">
        <f>YEAR(H981)</f>
        <v>2023</v>
      </c>
      <c r="C981" s="4">
        <f>MONTH(H981)</f>
        <v>12</v>
      </c>
      <c r="D981" s="4">
        <f>DAY(H981)</f>
        <v>19</v>
      </c>
      <c r="E981" s="4" t="str">
        <f>TEXT(H981,"dddd")</f>
        <v>Tuesday</v>
      </c>
      <c r="F981" s="4" t="str">
        <f t="shared" si="16"/>
        <v>December</v>
      </c>
      <c r="G981" s="4"/>
      <c r="H981" s="3">
        <v>45279</v>
      </c>
      <c r="I981" s="4" t="s">
        <v>1015</v>
      </c>
      <c r="J981" s="4" t="s">
        <v>29</v>
      </c>
      <c r="K981" s="4">
        <v>18</v>
      </c>
      <c r="L981" s="4" t="str" cm="1">
        <f t="array" ref="L981">_xlfn.IFS(K981&gt;=50, "Senior", K981&gt;=30, "Adult", K981&lt;30, "Young Adult")</f>
        <v>Young Adult</v>
      </c>
      <c r="M981" s="4" t="s">
        <v>3</v>
      </c>
      <c r="N981" s="4">
        <v>3</v>
      </c>
      <c r="O981" s="5">
        <v>30</v>
      </c>
      <c r="P981">
        <f>N981*O981</f>
        <v>90</v>
      </c>
      <c r="Q981">
        <f>(P981*$U$4)</f>
        <v>1.3499999999999999</v>
      </c>
    </row>
    <row r="982" spans="1:17">
      <c r="A982" s="2">
        <v>983</v>
      </c>
      <c r="B982" s="4">
        <f>YEAR(H982)</f>
        <v>2023</v>
      </c>
      <c r="C982" s="4">
        <f>MONTH(H982)</f>
        <v>11</v>
      </c>
      <c r="D982" s="4">
        <f>DAY(H982)</f>
        <v>1</v>
      </c>
      <c r="E982" s="4" t="str">
        <f>TEXT(H982,"dddd")</f>
        <v>Wednesday</v>
      </c>
      <c r="F982" s="4" t="str">
        <f t="shared" si="16"/>
        <v>November</v>
      </c>
      <c r="G982" s="4"/>
      <c r="H982" s="3">
        <v>45231</v>
      </c>
      <c r="I982" s="4" t="s">
        <v>1016</v>
      </c>
      <c r="J982" s="4" t="s">
        <v>29</v>
      </c>
      <c r="K982" s="4">
        <v>18</v>
      </c>
      <c r="L982" s="4" t="str" cm="1">
        <f t="array" ref="L982">_xlfn.IFS(K982&gt;=50, "Senior", K982&gt;=30, "Adult", K982&lt;30, "Young Adult")</f>
        <v>Young Adult</v>
      </c>
      <c r="M982" s="4" t="s">
        <v>8</v>
      </c>
      <c r="N982" s="4">
        <v>1</v>
      </c>
      <c r="O982" s="5">
        <v>300</v>
      </c>
      <c r="P982">
        <f>N982*O982</f>
        <v>300</v>
      </c>
      <c r="Q982">
        <f>(P982*$U$4)</f>
        <v>4.5</v>
      </c>
    </row>
    <row r="983" spans="1:17">
      <c r="A983" s="2">
        <v>984</v>
      </c>
      <c r="B983" s="4">
        <f>YEAR(H983)</f>
        <v>2023</v>
      </c>
      <c r="C983" s="4">
        <f>MONTH(H983)</f>
        <v>8</v>
      </c>
      <c r="D983" s="4">
        <f>DAY(H983)</f>
        <v>29</v>
      </c>
      <c r="E983" s="4" t="str">
        <f>TEXT(H983,"dddd")</f>
        <v>Tuesday</v>
      </c>
      <c r="F983" s="4" t="str">
        <f t="shared" si="16"/>
        <v>August</v>
      </c>
      <c r="G983" s="4"/>
      <c r="H983" s="3">
        <v>45167</v>
      </c>
      <c r="I983" s="4" t="s">
        <v>1017</v>
      </c>
      <c r="J983" s="4" t="s">
        <v>27</v>
      </c>
      <c r="K983" s="4">
        <v>18</v>
      </c>
      <c r="L983" s="4" t="str" cm="1">
        <f t="array" ref="L983">_xlfn.IFS(K983&gt;=50, "Senior", K983&gt;=30, "Adult", K983&lt;30, "Young Adult")</f>
        <v>Young Adult</v>
      </c>
      <c r="M983" s="4" t="s">
        <v>8</v>
      </c>
      <c r="N983" s="4">
        <v>1</v>
      </c>
      <c r="O983" s="5">
        <v>500</v>
      </c>
      <c r="P983">
        <f>N983*O983</f>
        <v>500</v>
      </c>
      <c r="Q983">
        <f>(P983*$U$4)</f>
        <v>7.5</v>
      </c>
    </row>
    <row r="984" spans="1:17">
      <c r="A984" s="2">
        <v>985</v>
      </c>
      <c r="B984" s="4">
        <f>YEAR(H984)</f>
        <v>2023</v>
      </c>
      <c r="C984" s="4">
        <f>MONTH(H984)</f>
        <v>5</v>
      </c>
      <c r="D984" s="4">
        <f>DAY(H984)</f>
        <v>30</v>
      </c>
      <c r="E984" s="4" t="str">
        <f>TEXT(H984,"dddd")</f>
        <v>Tuesday</v>
      </c>
      <c r="F984" s="4" t="str">
        <f t="shared" si="16"/>
        <v>May</v>
      </c>
      <c r="G984" s="4"/>
      <c r="H984" s="3">
        <v>45076</v>
      </c>
      <c r="I984" s="4" t="s">
        <v>1018</v>
      </c>
      <c r="J984" s="4" t="s">
        <v>29</v>
      </c>
      <c r="K984" s="4">
        <v>18</v>
      </c>
      <c r="L984" s="4" t="str" cm="1">
        <f t="array" ref="L984">_xlfn.IFS(K984&gt;=50, "Senior", K984&gt;=30, "Adult", K984&lt;30, "Young Adult")</f>
        <v>Young Adult</v>
      </c>
      <c r="M984" s="4" t="s">
        <v>10</v>
      </c>
      <c r="N984" s="4">
        <v>2</v>
      </c>
      <c r="O984" s="5">
        <v>25</v>
      </c>
      <c r="P984">
        <f>N984*O984</f>
        <v>50</v>
      </c>
      <c r="Q984">
        <f>(P984*$U$4)</f>
        <v>0.75</v>
      </c>
    </row>
    <row r="985" spans="1:17">
      <c r="A985" s="2">
        <v>986</v>
      </c>
      <c r="B985" s="4">
        <f>YEAR(H985)</f>
        <v>2023</v>
      </c>
      <c r="C985" s="4">
        <f>MONTH(H985)</f>
        <v>1</v>
      </c>
      <c r="D985" s="4">
        <f>DAY(H985)</f>
        <v>17</v>
      </c>
      <c r="E985" s="4" t="str">
        <f>TEXT(H985,"dddd")</f>
        <v>Tuesday</v>
      </c>
      <c r="F985" s="4" t="str">
        <f t="shared" si="16"/>
        <v>January</v>
      </c>
      <c r="G985" s="4"/>
      <c r="H985" s="3">
        <v>44943</v>
      </c>
      <c r="I985" s="4" t="s">
        <v>1019</v>
      </c>
      <c r="J985" s="4" t="s">
        <v>29</v>
      </c>
      <c r="K985" s="4">
        <v>18</v>
      </c>
      <c r="L985" s="4" t="str" cm="1">
        <f t="array" ref="L985">_xlfn.IFS(K985&gt;=50, "Senior", K985&gt;=30, "Adult", K985&lt;30, "Young Adult")</f>
        <v>Young Adult</v>
      </c>
      <c r="M985" s="4" t="s">
        <v>8</v>
      </c>
      <c r="N985" s="4">
        <v>2</v>
      </c>
      <c r="O985" s="5">
        <v>500</v>
      </c>
      <c r="P985">
        <f>N985*O985</f>
        <v>1000</v>
      </c>
      <c r="Q985">
        <f>(P985*$U$4)</f>
        <v>15</v>
      </c>
    </row>
    <row r="986" spans="1:17">
      <c r="A986" s="2">
        <v>987</v>
      </c>
      <c r="B986" s="4">
        <f>YEAR(H986)</f>
        <v>2023</v>
      </c>
      <c r="C986" s="4">
        <f>MONTH(H986)</f>
        <v>4</v>
      </c>
      <c r="D986" s="4">
        <f>DAY(H986)</f>
        <v>29</v>
      </c>
      <c r="E986" s="4" t="str">
        <f>TEXT(H986,"dddd")</f>
        <v>Saturday</v>
      </c>
      <c r="F986" s="4" t="str">
        <f t="shared" si="16"/>
        <v>April</v>
      </c>
      <c r="G986" s="4"/>
      <c r="H986" s="3">
        <v>45045</v>
      </c>
      <c r="I986" s="4" t="s">
        <v>1020</v>
      </c>
      <c r="J986" s="4" t="s">
        <v>29</v>
      </c>
      <c r="K986" s="4">
        <v>18</v>
      </c>
      <c r="L986" s="4" t="str" cm="1">
        <f t="array" ref="L986">_xlfn.IFS(K986&gt;=50, "Senior", K986&gt;=30, "Adult", K986&lt;30, "Young Adult")</f>
        <v>Young Adult</v>
      </c>
      <c r="M986" s="4" t="s">
        <v>8</v>
      </c>
      <c r="N986" s="4">
        <v>3</v>
      </c>
      <c r="O986" s="5">
        <v>300</v>
      </c>
      <c r="P986">
        <f>N986*O986</f>
        <v>900</v>
      </c>
      <c r="Q986">
        <f>(P986*$U$4)</f>
        <v>13.5</v>
      </c>
    </row>
    <row r="987" spans="1:17">
      <c r="A987" s="2">
        <v>988</v>
      </c>
      <c r="B987" s="4">
        <f>YEAR(H987)</f>
        <v>2023</v>
      </c>
      <c r="C987" s="4">
        <f>MONTH(H987)</f>
        <v>5</v>
      </c>
      <c r="D987" s="4">
        <f>DAY(H987)</f>
        <v>28</v>
      </c>
      <c r="E987" s="4" t="str">
        <f>TEXT(H987,"dddd")</f>
        <v>Sunday</v>
      </c>
      <c r="F987" s="4" t="str">
        <f t="shared" si="16"/>
        <v>May</v>
      </c>
      <c r="G987" s="4"/>
      <c r="H987" s="3">
        <v>45074</v>
      </c>
      <c r="I987" s="4" t="s">
        <v>1021</v>
      </c>
      <c r="J987" s="4" t="s">
        <v>29</v>
      </c>
      <c r="K987" s="4">
        <v>18</v>
      </c>
      <c r="L987" s="4" t="str" cm="1">
        <f t="array" ref="L987">_xlfn.IFS(K987&gt;=50, "Senior", K987&gt;=30, "Adult", K987&lt;30, "Young Adult")</f>
        <v>Young Adult</v>
      </c>
      <c r="M987" s="4" t="s">
        <v>8</v>
      </c>
      <c r="N987" s="4">
        <v>3</v>
      </c>
      <c r="O987" s="5">
        <v>25</v>
      </c>
      <c r="P987">
        <f>N987*O987</f>
        <v>75</v>
      </c>
      <c r="Q987">
        <f>(P987*$U$4)</f>
        <v>1.125</v>
      </c>
    </row>
    <row r="988" spans="1:17">
      <c r="A988" s="2">
        <v>989</v>
      </c>
      <c r="B988" s="4">
        <f>YEAR(H988)</f>
        <v>2023</v>
      </c>
      <c r="C988" s="4">
        <f>MONTH(H988)</f>
        <v>12</v>
      </c>
      <c r="D988" s="4">
        <f>DAY(H988)</f>
        <v>28</v>
      </c>
      <c r="E988" s="4" t="str">
        <f>TEXT(H988,"dddd")</f>
        <v>Thursday</v>
      </c>
      <c r="F988" s="4" t="str">
        <f t="shared" si="16"/>
        <v>December</v>
      </c>
      <c r="G988" s="4"/>
      <c r="H988" s="3">
        <v>45288</v>
      </c>
      <c r="I988" s="4" t="s">
        <v>1022</v>
      </c>
      <c r="J988" s="4" t="s">
        <v>29</v>
      </c>
      <c r="K988" s="4">
        <v>18</v>
      </c>
      <c r="L988" s="4" t="str" cm="1">
        <f t="array" ref="L988">_xlfn.IFS(K988&gt;=50, "Senior", K988&gt;=30, "Adult", K988&lt;30, "Young Adult")</f>
        <v>Young Adult</v>
      </c>
      <c r="M988" s="4" t="s">
        <v>10</v>
      </c>
      <c r="N988" s="4">
        <v>1</v>
      </c>
      <c r="O988" s="5">
        <v>25</v>
      </c>
      <c r="P988">
        <f>N988*O988</f>
        <v>25</v>
      </c>
      <c r="Q988">
        <f>(P988*$U$4)</f>
        <v>0.375</v>
      </c>
    </row>
    <row r="989" spans="1:17">
      <c r="A989" s="2">
        <v>990</v>
      </c>
      <c r="B989" s="4">
        <f>YEAR(H989)</f>
        <v>2023</v>
      </c>
      <c r="C989" s="4">
        <f>MONTH(H989)</f>
        <v>5</v>
      </c>
      <c r="D989" s="4">
        <f>DAY(H989)</f>
        <v>25</v>
      </c>
      <c r="E989" s="4" t="str">
        <f>TEXT(H989,"dddd")</f>
        <v>Thursday</v>
      </c>
      <c r="F989" s="4" t="str">
        <f t="shared" si="16"/>
        <v>May</v>
      </c>
      <c r="G989" s="4"/>
      <c r="H989" s="3">
        <v>45071</v>
      </c>
      <c r="I989" s="4" t="s">
        <v>1023</v>
      </c>
      <c r="J989" s="4" t="s">
        <v>29</v>
      </c>
      <c r="K989" s="4">
        <v>18</v>
      </c>
      <c r="L989" s="4" t="str" cm="1">
        <f t="array" ref="L989">_xlfn.IFS(K989&gt;=50, "Senior", K989&gt;=30, "Adult", K989&lt;30, "Young Adult")</f>
        <v>Young Adult</v>
      </c>
      <c r="M989" s="4" t="s">
        <v>3</v>
      </c>
      <c r="N989" s="4">
        <v>2</v>
      </c>
      <c r="O989" s="5">
        <v>500</v>
      </c>
      <c r="P989">
        <f>N989*O989</f>
        <v>1000</v>
      </c>
      <c r="Q989">
        <f>(P989*$U$4)</f>
        <v>15</v>
      </c>
    </row>
    <row r="990" spans="1:17">
      <c r="A990" s="2">
        <v>991</v>
      </c>
      <c r="B990" s="4">
        <f>YEAR(H990)</f>
        <v>2023</v>
      </c>
      <c r="C990" s="4">
        <f>MONTH(H990)</f>
        <v>12</v>
      </c>
      <c r="D990" s="4">
        <f>DAY(H990)</f>
        <v>26</v>
      </c>
      <c r="E990" s="4" t="str">
        <f>TEXT(H990,"dddd")</f>
        <v>Tuesday</v>
      </c>
      <c r="F990" s="4" t="str">
        <f t="shared" si="16"/>
        <v>December</v>
      </c>
      <c r="G990" s="4"/>
      <c r="H990" s="3">
        <v>45286</v>
      </c>
      <c r="I990" s="4" t="s">
        <v>1024</v>
      </c>
      <c r="J990" s="4" t="s">
        <v>29</v>
      </c>
      <c r="K990" s="4">
        <v>18</v>
      </c>
      <c r="L990" s="4" t="str" cm="1">
        <f t="array" ref="L990">_xlfn.IFS(K990&gt;=50, "Senior", K990&gt;=30, "Adult", K990&lt;30, "Young Adult")</f>
        <v>Young Adult</v>
      </c>
      <c r="M990" s="4" t="s">
        <v>8</v>
      </c>
      <c r="N990" s="4">
        <v>2</v>
      </c>
      <c r="O990" s="5">
        <v>50</v>
      </c>
      <c r="P990">
        <f>N990*O990</f>
        <v>100</v>
      </c>
      <c r="Q990">
        <f>(P990*$U$4)</f>
        <v>1.5</v>
      </c>
    </row>
    <row r="991" spans="1:17">
      <c r="A991" s="2">
        <v>992</v>
      </c>
      <c r="B991" s="4">
        <f>YEAR(H991)</f>
        <v>2023</v>
      </c>
      <c r="C991" s="4">
        <f>MONTH(H991)</f>
        <v>8</v>
      </c>
      <c r="D991" s="4">
        <f>DAY(H991)</f>
        <v>21</v>
      </c>
      <c r="E991" s="4" t="str">
        <f>TEXT(H991,"dddd")</f>
        <v>Monday</v>
      </c>
      <c r="F991" s="4" t="str">
        <f t="shared" si="16"/>
        <v>August</v>
      </c>
      <c r="G991" s="4"/>
      <c r="H991" s="3">
        <v>45159</v>
      </c>
      <c r="I991" s="4" t="s">
        <v>1025</v>
      </c>
      <c r="J991" s="4" t="s">
        <v>29</v>
      </c>
      <c r="K991" s="4">
        <v>18</v>
      </c>
      <c r="L991" s="4" t="str" cm="1">
        <f t="array" ref="L991">_xlfn.IFS(K991&gt;=50, "Senior", K991&gt;=30, "Adult", K991&lt;30, "Young Adult")</f>
        <v>Young Adult</v>
      </c>
      <c r="M991" s="4" t="s">
        <v>10</v>
      </c>
      <c r="N991" s="4">
        <v>2</v>
      </c>
      <c r="O991" s="5">
        <v>30</v>
      </c>
      <c r="P991">
        <f>N991*O991</f>
        <v>60</v>
      </c>
      <c r="Q991">
        <f>(P991*$U$4)</f>
        <v>0.89999999999999991</v>
      </c>
    </row>
    <row r="992" spans="1:17">
      <c r="A992" s="2">
        <v>993</v>
      </c>
      <c r="B992" s="4">
        <f>YEAR(H992)</f>
        <v>2023</v>
      </c>
      <c r="C992" s="4">
        <f>MONTH(H992)</f>
        <v>2</v>
      </c>
      <c r="D992" s="4">
        <f>DAY(H992)</f>
        <v>6</v>
      </c>
      <c r="E992" s="4" t="str">
        <f>TEXT(H992,"dddd")</f>
        <v>Monday</v>
      </c>
      <c r="F992" s="4" t="str">
        <f t="shared" si="16"/>
        <v>February</v>
      </c>
      <c r="G992" s="4"/>
      <c r="H992" s="3">
        <v>44963</v>
      </c>
      <c r="I992" s="4" t="s">
        <v>1026</v>
      </c>
      <c r="J992" s="4" t="s">
        <v>29</v>
      </c>
      <c r="K992" s="4">
        <v>18</v>
      </c>
      <c r="L992" s="4" t="str" cm="1">
        <f t="array" ref="L992">_xlfn.IFS(K992&gt;=50, "Senior", K992&gt;=30, "Adult", K992&lt;30, "Young Adult")</f>
        <v>Young Adult</v>
      </c>
      <c r="M992" s="4" t="s">
        <v>10</v>
      </c>
      <c r="N992" s="4">
        <v>3</v>
      </c>
      <c r="O992" s="5">
        <v>50</v>
      </c>
      <c r="P992">
        <f>N992*O992</f>
        <v>150</v>
      </c>
      <c r="Q992">
        <f>(P992*$U$4)</f>
        <v>2.25</v>
      </c>
    </row>
    <row r="993" spans="1:17">
      <c r="A993" s="2">
        <v>994</v>
      </c>
      <c r="B993" s="4">
        <f>YEAR(H993)</f>
        <v>2023</v>
      </c>
      <c r="C993" s="4">
        <f>MONTH(H993)</f>
        <v>12</v>
      </c>
      <c r="D993" s="4">
        <f>DAY(H993)</f>
        <v>18</v>
      </c>
      <c r="E993" s="4" t="str">
        <f>TEXT(H993,"dddd")</f>
        <v>Monday</v>
      </c>
      <c r="F993" s="4" t="str">
        <f t="shared" si="16"/>
        <v>December</v>
      </c>
      <c r="G993" s="4"/>
      <c r="H993" s="3">
        <v>45278</v>
      </c>
      <c r="I993" s="4" t="s">
        <v>1027</v>
      </c>
      <c r="J993" s="4" t="s">
        <v>29</v>
      </c>
      <c r="K993" s="4">
        <v>18</v>
      </c>
      <c r="L993" s="4" t="str" cm="1">
        <f t="array" ref="L993">_xlfn.IFS(K993&gt;=50, "Senior", K993&gt;=30, "Adult", K993&lt;30, "Young Adult")</f>
        <v>Young Adult</v>
      </c>
      <c r="M993" s="4" t="s">
        <v>3</v>
      </c>
      <c r="N993" s="4">
        <v>2</v>
      </c>
      <c r="O993" s="5">
        <v>500</v>
      </c>
      <c r="P993">
        <f>N993*O993</f>
        <v>1000</v>
      </c>
      <c r="Q993">
        <f>(P993*$U$4)</f>
        <v>15</v>
      </c>
    </row>
    <row r="994" spans="1:17">
      <c r="A994" s="2">
        <v>995</v>
      </c>
      <c r="B994" s="4">
        <f>YEAR(H994)</f>
        <v>2023</v>
      </c>
      <c r="C994" s="4">
        <f>MONTH(H994)</f>
        <v>4</v>
      </c>
      <c r="D994" s="4">
        <f>DAY(H994)</f>
        <v>30</v>
      </c>
      <c r="E994" s="4" t="str">
        <f>TEXT(H994,"dddd")</f>
        <v>Sunday</v>
      </c>
      <c r="F994" s="4" t="str">
        <f t="shared" si="16"/>
        <v>April</v>
      </c>
      <c r="G994" s="4"/>
      <c r="H994" s="3">
        <v>45046</v>
      </c>
      <c r="I994" s="4" t="s">
        <v>1028</v>
      </c>
      <c r="J994" s="4" t="s">
        <v>29</v>
      </c>
      <c r="K994" s="4">
        <v>18</v>
      </c>
      <c r="L994" s="4" t="str" cm="1">
        <f t="array" ref="L994">_xlfn.IFS(K994&gt;=50, "Senior", K994&gt;=30, "Adult", K994&lt;30, "Young Adult")</f>
        <v>Young Adult</v>
      </c>
      <c r="M994" s="4" t="s">
        <v>8</v>
      </c>
      <c r="N994" s="4">
        <v>1</v>
      </c>
      <c r="O994" s="5">
        <v>30</v>
      </c>
      <c r="P994">
        <f>N994*O994</f>
        <v>30</v>
      </c>
      <c r="Q994">
        <f>(P994*$U$4)</f>
        <v>0.44999999999999996</v>
      </c>
    </row>
    <row r="995" spans="1:17">
      <c r="A995" s="2">
        <v>996</v>
      </c>
      <c r="B995" s="4">
        <f>YEAR(H995)</f>
        <v>2023</v>
      </c>
      <c r="C995" s="4">
        <f>MONTH(H995)</f>
        <v>5</v>
      </c>
      <c r="D995" s="4">
        <f>DAY(H995)</f>
        <v>16</v>
      </c>
      <c r="E995" s="4" t="str">
        <f>TEXT(H995,"dddd")</f>
        <v>Tuesday</v>
      </c>
      <c r="F995" s="4" t="str">
        <f t="shared" si="16"/>
        <v>May</v>
      </c>
      <c r="G995" s="4"/>
      <c r="H995" s="3">
        <v>45062</v>
      </c>
      <c r="I995" s="4" t="s">
        <v>1029</v>
      </c>
      <c r="J995" s="4" t="s">
        <v>27</v>
      </c>
      <c r="K995" s="4">
        <v>18</v>
      </c>
      <c r="L995" s="4" t="str" cm="1">
        <f t="array" ref="L995">_xlfn.IFS(K995&gt;=50, "Senior", K995&gt;=30, "Adult", K995&lt;30, "Young Adult")</f>
        <v>Young Adult</v>
      </c>
      <c r="M995" s="4" t="s">
        <v>8</v>
      </c>
      <c r="N995" s="4">
        <v>1</v>
      </c>
      <c r="O995" s="5">
        <v>50</v>
      </c>
      <c r="P995">
        <f>N995*O995</f>
        <v>50</v>
      </c>
      <c r="Q995">
        <f>(P995*$U$4)</f>
        <v>0.75</v>
      </c>
    </row>
    <row r="996" spans="1:17">
      <c r="A996" s="2">
        <v>997</v>
      </c>
      <c r="B996" s="4">
        <f>YEAR(H996)</f>
        <v>2023</v>
      </c>
      <c r="C996" s="4">
        <f>MONTH(H996)</f>
        <v>11</v>
      </c>
      <c r="D996" s="4">
        <f>DAY(H996)</f>
        <v>17</v>
      </c>
      <c r="E996" s="4" t="str">
        <f>TEXT(H996,"dddd")</f>
        <v>Friday</v>
      </c>
      <c r="F996" s="4" t="str">
        <f t="shared" si="16"/>
        <v>November</v>
      </c>
      <c r="G996" s="4"/>
      <c r="H996" s="3">
        <v>45247</v>
      </c>
      <c r="I996" s="4" t="s">
        <v>1030</v>
      </c>
      <c r="J996" s="4" t="s">
        <v>27</v>
      </c>
      <c r="K996" s="4">
        <v>18</v>
      </c>
      <c r="L996" s="4" t="str" cm="1">
        <f t="array" ref="L996">_xlfn.IFS(K996&gt;=50, "Senior", K996&gt;=30, "Adult", K996&lt;30, "Young Adult")</f>
        <v>Young Adult</v>
      </c>
      <c r="M996" s="4" t="s">
        <v>3</v>
      </c>
      <c r="N996" s="4">
        <v>3</v>
      </c>
      <c r="O996" s="5">
        <v>30</v>
      </c>
      <c r="P996">
        <f>N996*O996</f>
        <v>90</v>
      </c>
      <c r="Q996">
        <f>(P996*$U$4)</f>
        <v>1.3499999999999999</v>
      </c>
    </row>
    <row r="997" spans="1:17">
      <c r="A997" s="2">
        <v>998</v>
      </c>
      <c r="B997" s="4">
        <f>YEAR(H997)</f>
        <v>2023</v>
      </c>
      <c r="C997" s="4">
        <f>MONTH(H997)</f>
        <v>10</v>
      </c>
      <c r="D997" s="4">
        <f>DAY(H997)</f>
        <v>29</v>
      </c>
      <c r="E997" s="4" t="str">
        <f>TEXT(H997,"dddd")</f>
        <v>Sunday</v>
      </c>
      <c r="F997" s="4" t="str">
        <f t="shared" si="16"/>
        <v>October</v>
      </c>
      <c r="G997" s="4"/>
      <c r="H997" s="3">
        <v>45228</v>
      </c>
      <c r="I997" s="4" t="s">
        <v>1031</v>
      </c>
      <c r="J997" s="4" t="s">
        <v>29</v>
      </c>
      <c r="K997" s="4">
        <v>18</v>
      </c>
      <c r="L997" s="4" t="str" cm="1">
        <f t="array" ref="L997">_xlfn.IFS(K997&gt;=50, "Senior", K997&gt;=30, "Adult", K997&lt;30, "Young Adult")</f>
        <v>Young Adult</v>
      </c>
      <c r="M997" s="4" t="s">
        <v>3</v>
      </c>
      <c r="N997" s="4">
        <v>4</v>
      </c>
      <c r="O997" s="5">
        <v>25</v>
      </c>
      <c r="P997">
        <f>N997*O997</f>
        <v>100</v>
      </c>
      <c r="Q997">
        <f>(P997*$U$4)</f>
        <v>1.5</v>
      </c>
    </row>
    <row r="998" spans="1:17">
      <c r="A998" s="2">
        <v>999</v>
      </c>
      <c r="B998" s="4">
        <f>YEAR(H998)</f>
        <v>2023</v>
      </c>
      <c r="C998" s="4">
        <f>MONTH(H998)</f>
        <v>12</v>
      </c>
      <c r="D998" s="4">
        <f>DAY(H998)</f>
        <v>5</v>
      </c>
      <c r="E998" s="4" t="str">
        <f>TEXT(H998,"dddd")</f>
        <v>Tuesday</v>
      </c>
      <c r="F998" s="4" t="str">
        <f t="shared" si="16"/>
        <v>December</v>
      </c>
      <c r="G998" s="4"/>
      <c r="H998" s="3">
        <v>45265</v>
      </c>
      <c r="I998" s="4" t="s">
        <v>1032</v>
      </c>
      <c r="J998" s="4" t="s">
        <v>29</v>
      </c>
      <c r="K998" s="4">
        <v>18</v>
      </c>
      <c r="L998" s="4" t="str" cm="1">
        <f t="array" ref="L998">_xlfn.IFS(K998&gt;=50, "Senior", K998&gt;=30, "Adult", K998&lt;30, "Young Adult")</f>
        <v>Young Adult</v>
      </c>
      <c r="M998" s="4" t="s">
        <v>10</v>
      </c>
      <c r="N998" s="4">
        <v>3</v>
      </c>
      <c r="O998" s="5">
        <v>50</v>
      </c>
      <c r="P998">
        <f>N998*O998</f>
        <v>150</v>
      </c>
      <c r="Q998">
        <f>(P998*$U$4)</f>
        <v>2.25</v>
      </c>
    </row>
    <row r="999" spans="1:17">
      <c r="A999" s="2">
        <v>1000</v>
      </c>
      <c r="B999" s="4">
        <f>YEAR(H999)</f>
        <v>2023</v>
      </c>
      <c r="C999" s="4">
        <f>MONTH(H999)</f>
        <v>4</v>
      </c>
      <c r="D999" s="4">
        <f>DAY(H999)</f>
        <v>12</v>
      </c>
      <c r="E999" s="4" t="str">
        <f>TEXT(H999,"dddd")</f>
        <v>Wednesday</v>
      </c>
      <c r="F999" s="4" t="str">
        <f t="shared" si="16"/>
        <v>April</v>
      </c>
      <c r="G999" s="4"/>
      <c r="H999" s="3">
        <v>45028</v>
      </c>
      <c r="I999" s="4" t="s">
        <v>1033</v>
      </c>
      <c r="J999" s="4" t="s">
        <v>27</v>
      </c>
      <c r="K999" s="4">
        <v>18</v>
      </c>
      <c r="L999" s="4" t="str" cm="1">
        <f t="array" ref="L999">_xlfn.IFS(K999&gt;=50, "Senior", K999&gt;=30, "Adult", K999&lt;30, "Young Adult")</f>
        <v>Young Adult</v>
      </c>
      <c r="M999" s="4" t="s">
        <v>10</v>
      </c>
      <c r="N999" s="4">
        <v>4</v>
      </c>
      <c r="O999" s="5">
        <v>30</v>
      </c>
      <c r="P999">
        <f>N999*O999</f>
        <v>120</v>
      </c>
      <c r="Q999">
        <f>(P999*$U$4)</f>
        <v>1.7999999999999998</v>
      </c>
    </row>
    <row r="1000" spans="1:17">
      <c r="A1000" s="2">
        <v>211</v>
      </c>
      <c r="B1000" s="4">
        <f>YEAR(H1000)</f>
        <v>2024</v>
      </c>
      <c r="C1000" s="4">
        <f>MONTH(H1000)</f>
        <v>1</v>
      </c>
      <c r="D1000" s="4">
        <f>DAY(H1000)</f>
        <v>1</v>
      </c>
      <c r="E1000" s="4" t="str">
        <f>TEXT(H1000,"dddd")</f>
        <v>Monday</v>
      </c>
      <c r="F1000" s="4" t="str">
        <f t="shared" si="16"/>
        <v>January</v>
      </c>
      <c r="G1000" s="4"/>
      <c r="H1000" s="3">
        <v>45292</v>
      </c>
      <c r="I1000" s="4" t="s">
        <v>1034</v>
      </c>
      <c r="J1000" s="4" t="s">
        <v>27</v>
      </c>
      <c r="K1000" s="4">
        <v>55</v>
      </c>
      <c r="L1000" s="4" t="str" cm="1">
        <f t="array" ref="L1000">_xlfn.IFS(K1000&gt;=50, "Senior", K1000&gt;=30, "Adult", K1000&lt;30, "Young Adult")</f>
        <v>Senior</v>
      </c>
      <c r="M1000" s="4" t="s">
        <v>3</v>
      </c>
      <c r="N1000" s="4">
        <v>3</v>
      </c>
      <c r="O1000" s="5">
        <v>500</v>
      </c>
      <c r="P1000">
        <f>N1000*O1000</f>
        <v>1500</v>
      </c>
      <c r="Q1000">
        <f>(P1000*$U$4)</f>
        <v>22.5</v>
      </c>
    </row>
    <row r="1001" spans="1:17">
      <c r="A1001" s="6">
        <v>650</v>
      </c>
      <c r="B1001" s="4">
        <f>YEAR(H1001)</f>
        <v>2024</v>
      </c>
      <c r="C1001" s="4">
        <f>MONTH(H1001)</f>
        <v>1</v>
      </c>
      <c r="D1001" s="4">
        <f>DAY(H1001)</f>
        <v>1</v>
      </c>
      <c r="E1001" s="4" t="str">
        <f>TEXT(H1001,"dddd")</f>
        <v>Monday</v>
      </c>
      <c r="F1001" s="4" t="str">
        <f t="shared" si="16"/>
        <v>January</v>
      </c>
      <c r="G1001" s="4"/>
      <c r="H1001" s="7">
        <v>45292</v>
      </c>
      <c r="I1001" s="8" t="s">
        <v>1035</v>
      </c>
      <c r="J1001" s="8" t="s">
        <v>27</v>
      </c>
      <c r="K1001" s="8">
        <v>34</v>
      </c>
      <c r="L1001" s="4" t="str" cm="1">
        <f t="array" ref="L1001">_xlfn.IFS(K1001&gt;=50, "Senior", K1001&gt;=30, "Adult", K1001&lt;30, "Young Adult")</f>
        <v>Adult</v>
      </c>
      <c r="M1001" s="8" t="s">
        <v>10</v>
      </c>
      <c r="N1001" s="8">
        <v>1</v>
      </c>
      <c r="O1001" s="9">
        <v>30</v>
      </c>
      <c r="P1001">
        <f>N1001*O1001</f>
        <v>30</v>
      </c>
      <c r="Q1001">
        <f>(P1001*$U$4)</f>
        <v>0.44999999999999996</v>
      </c>
    </row>
    <row r="1002" spans="1:17">
      <c r="F1002" s="4" t="str">
        <f t="shared" si="16"/>
        <v>January</v>
      </c>
      <c r="L1002" s="4"/>
    </row>
    <row r="1003" spans="1:17">
      <c r="F1003" s="4" t="str">
        <f t="shared" si="16"/>
        <v>January</v>
      </c>
      <c r="L1003" s="4"/>
    </row>
    <row r="1004" spans="1:17">
      <c r="F1004" s="4" t="str">
        <f t="shared" si="16"/>
        <v>January</v>
      </c>
      <c r="L1004" s="4"/>
    </row>
  </sheetData>
  <autoFilter ref="A1:Q1004" xr:uid="{00000000-0001-0000-0000-000000000000}"/>
  <sortState xmlns:xlrd2="http://schemas.microsoft.com/office/spreadsheetml/2017/richdata2" ref="A2:Q1001">
    <sortCondition sortBy="cellColor" ref="B2:B1001" dxfId="0"/>
  </sortState>
  <conditionalFormatting sqref="U15:U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4"/>
  <sheetViews>
    <sheetView tabSelected="1" workbookViewId="0">
      <selection activeCell="F14" sqref="F14"/>
    </sheetView>
  </sheetViews>
  <sheetFormatPr defaultColWidth="11.25" defaultRowHeight="15.75"/>
  <cols>
    <col min="1" max="1" width="14.5" customWidth="1"/>
    <col min="3" max="3" width="23.25" customWidth="1"/>
    <col min="4" max="4" width="26.625" customWidth="1"/>
  </cols>
  <sheetData>
    <row r="1" spans="1:4">
      <c r="A1" s="1" t="s">
        <v>13</v>
      </c>
      <c r="B1" s="1" t="s">
        <v>24</v>
      </c>
      <c r="C1" s="1" t="s">
        <v>1036</v>
      </c>
      <c r="D1" t="s">
        <v>1037</v>
      </c>
    </row>
    <row r="2" spans="1:4">
      <c r="A2">
        <v>10</v>
      </c>
      <c r="B2">
        <f>VLOOKUP(A2, retail_sales_dataset!$A$1:$R$1001, 14, FALSE)</f>
        <v>4</v>
      </c>
      <c r="C2">
        <f>VLOOKUP(A2, retail_sales_dataset!$A$1:$R$1001, 11, FALSE)</f>
        <v>64</v>
      </c>
      <c r="D2" t="str">
        <f>CONCATENATE(B2," ",C2)</f>
        <v>4 64</v>
      </c>
    </row>
    <row r="3" spans="1:4">
      <c r="A3">
        <v>15</v>
      </c>
      <c r="B3">
        <f>VLOOKUP(A3, retail_sales_dataset!$A$1:$R$1001, 14, FALSE)</f>
        <v>4</v>
      </c>
      <c r="C3">
        <f>VLOOKUP(A3, retail_sales_dataset!$A$1:$R$1001, 11, FALSE)</f>
        <v>64</v>
      </c>
      <c r="D3" t="str">
        <f t="shared" ref="D3:D10" si="0">CONCATENATE(B3," ",C3)</f>
        <v>4 64</v>
      </c>
    </row>
    <row r="4" spans="1:4">
      <c r="A4">
        <v>25</v>
      </c>
      <c r="B4">
        <f>VLOOKUP(A4, retail_sales_dataset!$A$1:$R$1001, 14, FALSE)</f>
        <v>1</v>
      </c>
      <c r="C4">
        <f>VLOOKUP(A4, retail_sales_dataset!$A$1:$R$1001, 11, FALSE)</f>
        <v>64</v>
      </c>
      <c r="D4" t="str">
        <f t="shared" si="0"/>
        <v>1 64</v>
      </c>
    </row>
    <row r="5" spans="1:4">
      <c r="A5">
        <v>30</v>
      </c>
      <c r="B5">
        <f>VLOOKUP(A5, retail_sales_dataset!$A$1:$R$1001, 14, FALSE)</f>
        <v>3</v>
      </c>
      <c r="C5">
        <f>VLOOKUP(A5, retail_sales_dataset!$A$1:$R$1001, 11, FALSE)</f>
        <v>64</v>
      </c>
      <c r="D5" t="str">
        <f t="shared" si="0"/>
        <v>3 64</v>
      </c>
    </row>
    <row r="6" spans="1:4">
      <c r="A6">
        <v>54</v>
      </c>
      <c r="B6">
        <f>VLOOKUP(A6, retail_sales_dataset!$A$1:$R$1001, 14, FALSE)</f>
        <v>3</v>
      </c>
      <c r="C6">
        <f>VLOOKUP(A6, retail_sales_dataset!$A$1:$R$1001, 11, FALSE)</f>
        <v>62</v>
      </c>
      <c r="D6" t="str">
        <f t="shared" si="0"/>
        <v>3 62</v>
      </c>
    </row>
    <row r="7" spans="1:4">
      <c r="A7">
        <v>55</v>
      </c>
      <c r="B7">
        <f>VLOOKUP(A7, retail_sales_dataset!$A$1:$R$1001, 14, FALSE)</f>
        <v>4</v>
      </c>
      <c r="C7">
        <f>VLOOKUP(A7, retail_sales_dataset!$A$1:$R$1001, 11, FALSE)</f>
        <v>62</v>
      </c>
      <c r="D7" t="str">
        <f t="shared" si="0"/>
        <v>4 62</v>
      </c>
    </row>
    <row r="8" spans="1:4">
      <c r="A8">
        <v>67</v>
      </c>
      <c r="B8">
        <f>VLOOKUP(A8, retail_sales_dataset!$A$1:$R$1001, 14, FALSE)</f>
        <v>4</v>
      </c>
      <c r="C8">
        <f>VLOOKUP(A8, retail_sales_dataset!$A$1:$R$1001, 11, FALSE)</f>
        <v>62</v>
      </c>
      <c r="D8" t="str">
        <f t="shared" si="0"/>
        <v>4 62</v>
      </c>
    </row>
    <row r="9" spans="1:4">
      <c r="A9">
        <v>89</v>
      </c>
      <c r="B9">
        <f>VLOOKUP(A9, retail_sales_dataset!$A$1:$R$1001, 14, FALSE)</f>
        <v>4</v>
      </c>
      <c r="C9">
        <f>VLOOKUP(A9, retail_sales_dataset!$A$1:$R$1001, 11, FALSE)</f>
        <v>61</v>
      </c>
      <c r="D9" t="str">
        <f t="shared" si="0"/>
        <v>4 61</v>
      </c>
    </row>
    <row r="10" spans="1:4">
      <c r="A10">
        <v>100</v>
      </c>
      <c r="B10">
        <f>VLOOKUP(A10, retail_sales_dataset!$A$1:$R$1001, 14, FALSE)</f>
        <v>1</v>
      </c>
      <c r="C10">
        <f>VLOOKUP(A10, retail_sales_dataset!$A$1:$R$1001, 11, FALSE)</f>
        <v>60</v>
      </c>
      <c r="D10" t="str">
        <f t="shared" si="0"/>
        <v>1 60</v>
      </c>
    </row>
    <row r="13" spans="1:4">
      <c r="A13">
        <f>COUNT(A2:A10)</f>
        <v>9</v>
      </c>
      <c r="B13">
        <f t="shared" ref="B13:D13" si="1">COUNT(B2:B10)</f>
        <v>9</v>
      </c>
      <c r="C13">
        <f t="shared" si="1"/>
        <v>9</v>
      </c>
      <c r="D13">
        <f t="shared" si="1"/>
        <v>0</v>
      </c>
    </row>
    <row r="14" spans="1:4">
      <c r="A14" t="s">
        <v>1038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9C66761-A138-4D29-95EB-4CF018C84C81}"/>
</file>

<file path=customXml/itemProps2.xml><?xml version="1.0" encoding="utf-8"?>
<ds:datastoreItem xmlns:ds="http://schemas.openxmlformats.org/officeDocument/2006/customXml" ds:itemID="{FE6DF61C-7ABD-44B9-B769-8F2899BB81F7}"/>
</file>

<file path=customXml/itemProps3.xml><?xml version="1.0" encoding="utf-8"?>
<ds:datastoreItem xmlns:ds="http://schemas.openxmlformats.org/officeDocument/2006/customXml" ds:itemID="{6A238311-EE1E-4F00-870C-F1577541CA78}"/>
</file>

<file path=customXml/itemProps4.xml><?xml version="1.0" encoding="utf-8"?>
<ds:datastoreItem xmlns:ds="http://schemas.openxmlformats.org/officeDocument/2006/customXml" ds:itemID="{0ECF1352-6F0C-4E7B-8AFB-2EA761E69D98}"/>
</file>

<file path=customXml/itemProps5.xml><?xml version="1.0" encoding="utf-8"?>
<ds:datastoreItem xmlns:ds="http://schemas.openxmlformats.org/officeDocument/2006/customXml" ds:itemID="{B46F128A-B7FE-46C0-9B9B-600600B1B28E}"/>
</file>

<file path=customXml/itemProps6.xml><?xml version="1.0" encoding="utf-8"?>
<ds:datastoreItem xmlns:ds="http://schemas.openxmlformats.org/officeDocument/2006/customXml" ds:itemID="{8B7F014E-65B1-48DD-A1AF-A79E02398FCF}"/>
</file>

<file path=customXml/itemProps7.xml><?xml version="1.0" encoding="utf-8"?>
<ds:datastoreItem xmlns:ds="http://schemas.openxmlformats.org/officeDocument/2006/customXml" ds:itemID="{A85E162B-7A50-4957-AE78-A5F153441C86}"/>
</file>

<file path=customXml/itemProps8.xml><?xml version="1.0" encoding="utf-8"?>
<ds:datastoreItem xmlns:ds="http://schemas.openxmlformats.org/officeDocument/2006/customXml" ds:itemID="{15575EC4-E142-4B68-9BA1-7D9F83EA5067}"/>
</file>

<file path=customXml/itemProps9.xml><?xml version="1.0" encoding="utf-8"?>
<ds:datastoreItem xmlns:ds="http://schemas.openxmlformats.org/officeDocument/2006/customXml" ds:itemID="{82F3FFA2-A909-498D-9BC6-33DF5B99923B}"/>
</file>

<file path=customXml/itemProps10.xml><?xml version="1.0" encoding="utf-8"?>
<ds:datastoreItem xmlns:ds="http://schemas.openxmlformats.org/officeDocument/2006/customXml" ds:itemID="{09B95C5D-16BB-4BEF-B316-6D3A8C9DD811}"/>
</file>

<file path=customXml/itemProps11.xml><?xml version="1.0" encoding="utf-8"?>
<ds:datastoreItem xmlns:ds="http://schemas.openxmlformats.org/officeDocument/2006/customXml" ds:itemID="{06D295F5-8058-4546-A127-35DC9120150C}"/>
</file>

<file path=customXml/itemProps12.xml><?xml version="1.0" encoding="utf-8"?>
<ds:datastoreItem xmlns:ds="http://schemas.openxmlformats.org/officeDocument/2006/customXml" ds:itemID="{3E8CB0BE-C4BA-4913-9C77-CD4B1441093A}"/>
</file>

<file path=customXml/itemProps13.xml><?xml version="1.0" encoding="utf-8"?>
<ds:datastoreItem xmlns:ds="http://schemas.openxmlformats.org/officeDocument/2006/customXml" ds:itemID="{9190CA0F-535F-4E99-9D22-E64B1EB7326E}"/>
</file>

<file path=customXml/itemProps14.xml><?xml version="1.0" encoding="utf-8"?>
<ds:datastoreItem xmlns:ds="http://schemas.openxmlformats.org/officeDocument/2006/customXml" ds:itemID="{6DA07CEC-807D-4764-A388-A6BBED7640E0}"/>
</file>

<file path=customXml/itemProps15.xml><?xml version="1.0" encoding="utf-8"?>
<ds:datastoreItem xmlns:ds="http://schemas.openxmlformats.org/officeDocument/2006/customXml" ds:itemID="{DD9334D5-6C08-4A46-AD2C-FA9BF6D4670C}"/>
</file>

<file path=customXml/itemProps16.xml><?xml version="1.0" encoding="utf-8"?>
<ds:datastoreItem xmlns:ds="http://schemas.openxmlformats.org/officeDocument/2006/customXml" ds:itemID="{E2D36A1E-236C-4E19-9955-D6B07E5D30B7}"/>
</file>

<file path=customXml/itemProps17.xml><?xml version="1.0" encoding="utf-8"?>
<ds:datastoreItem xmlns:ds="http://schemas.openxmlformats.org/officeDocument/2006/customXml" ds:itemID="{E643224C-1CC4-4A7F-A567-22ECFBDF619E}"/>
</file>

<file path=customXml/itemProps18.xml><?xml version="1.0" encoding="utf-8"?>
<ds:datastoreItem xmlns:ds="http://schemas.openxmlformats.org/officeDocument/2006/customXml" ds:itemID="{B0863CD4-1E7A-4D88-A05C-62E37A52A464}"/>
</file>

<file path=customXml/itemProps19.xml><?xml version="1.0" encoding="utf-8"?>
<ds:datastoreItem xmlns:ds="http://schemas.openxmlformats.org/officeDocument/2006/customXml" ds:itemID="{A4B88D49-EA58-47E5-AA07-36D60BC914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2026-06-15T13:01:01Z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